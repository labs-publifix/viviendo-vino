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Backlog" sheetId="1" state="visible" r:id="rId3"/>
    <sheet name="Calendario" sheetId="2" state="visible" r:id="rId4"/>
    <sheet name="Cobertura catálogo" sheetId="3" state="visible" r:id="rId5"/>
    <sheet name="Checklist SEO" sheetId="4" state="visible" r:id="rId6"/>
  </sheets>
  <definedNames>
    <definedName function="false" hidden="true" localSheetId="0" name="_xlnm._FilterDatabase" vbProcedure="false">Backlog!$A$1:$AF$22</definedName>
    <definedName function="false" hidden="true" localSheetId="1" name="_xlnm._FilterDatabase" vbProcedure="false">Calendario!$A$1:$F$17</definedName>
    <definedName function="false" hidden="true" localSheetId="3" name="_xlnm._FilterDatabase" vbProcedure="false">'Checklist SEO'!$A$1:$B$17</definedName>
    <definedName function="false" hidden="true" localSheetId="2" name="_xlnm._FilterDatabase" vbProcedure="false">'Cobertura catálogo'!$A$1:$D$20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<sst xmlns="http://schemas.openxmlformats.org/spreadsheetml/2006/main" count="727" uniqueCount="496">
  <si>
    <t xml:space="preserve">N.º</t>
  </si>
  <si>
    <t xml:space="preserve">Fecha publicación</t>
  </si>
  <si>
    <t xml:space="preserve">Día</t>
  </si>
  <si>
    <t xml:space="preserve">Tipo</t>
  </si>
  <si>
    <t xml:space="preserve">Guía N.º</t>
  </si>
  <si>
    <t xml:space="preserve">Categoría</t>
  </si>
  <si>
    <t xml:space="preserve">Clúster</t>
  </si>
  <si>
    <t xml:space="preserve">Título (H1)</t>
  </si>
  <si>
    <t xml:space="preserve">Slug</t>
  </si>
  <si>
    <t xml:space="preserve">URL canónica</t>
  </si>
  <si>
    <t xml:space="preserve">Keyword principal</t>
  </si>
  <si>
    <t xml:space="preserve">Keywords secundarias</t>
  </si>
  <si>
    <t xml:space="preserve">Intención</t>
  </si>
  <si>
    <t xml:space="preserve">Title tag</t>
  </si>
  <si>
    <t xml:space="preserve">Car. title</t>
  </si>
  <si>
    <t xml:space="preserve">Meta descripción</t>
  </si>
  <si>
    <t xml:space="preserve">Car. meta</t>
  </si>
  <si>
    <t xml:space="preserve">Datos estructurados</t>
  </si>
  <si>
    <t xml:space="preserve">Palabras</t>
  </si>
  <si>
    <t xml:space="preserve">Color</t>
  </si>
  <si>
    <t xml:space="preserve">Cifra</t>
  </si>
  <si>
    <t xml:space="preserve">Vinos del catálogo</t>
  </si>
  <si>
    <t xml:space="preserve">Enlaces internos</t>
  </si>
  <si>
    <t xml:space="preserve">Relacionados</t>
  </si>
  <si>
    <t xml:space="preserve">CTA</t>
  </si>
  <si>
    <t xml:space="preserve">FAQ 1</t>
  </si>
  <si>
    <t xml:space="preserve">FAQ 2</t>
  </si>
  <si>
    <t xml:space="preserve">FAQ 3</t>
  </si>
  <si>
    <t xml:space="preserve">Enfoque</t>
  </si>
  <si>
    <t xml:space="preserve">Existe</t>
  </si>
  <si>
    <t xml:space="preserve">Estado</t>
  </si>
  <si>
    <t xml:space="preserve">Nota</t>
  </si>
  <si>
    <t xml:space="preserve">Sábado (hoy)</t>
  </si>
  <si>
    <t xml:space="preserve">Artículo</t>
  </si>
  <si>
    <t xml:space="preserve">Aprende</t>
  </si>
  <si>
    <t xml:space="preserve">A · Aprende lo básico</t>
  </si>
  <si>
    <t xml:space="preserve">Cómo leer la etiqueta de un vino sin perderte en el intento</t>
  </si>
  <si>
    <t xml:space="preserve">como-leer-la-etiqueta-de-un-vino</t>
  </si>
  <si>
    <t xml:space="preserve">https://www.viviendovino.com/blog/como-leer-la-etiqueta-de-un-vino</t>
  </si>
  <si>
    <t xml:space="preserve">cómo leer la etiqueta de un vino</t>
  </si>
  <si>
    <t xml:space="preserve">etiqueta de vino; qué significa DOC, IGT y DOCG; añada del vino; cómo leer una botella de vino italiano</t>
  </si>
  <si>
    <t xml:space="preserve">Informacional (principiante)</t>
  </si>
  <si>
    <t xml:space="preserve">Cómo leer la etiqueta de un vino | Viviendo Vino</t>
  </si>
  <si>
    <t xml:space="preserve">Aprende a leer la etiqueta de un vino: uva, añada, región y qué significan DOC, IGT y DOCG. Con ejemplos de etiquetas reales.</t>
  </si>
  <si>
    <t xml:space="preserve">Article + FAQPage + BreadcrumbList</t>
  </si>
  <si>
    <t xml:space="preserve">900–1,200</t>
  </si>
  <si>
    <t xml:space="preserve">oscuro</t>
  </si>
  <si>
    <t xml:space="preserve">01</t>
  </si>
  <si>
    <t xml:space="preserve">Pinot Grigio delle Venezie DOC 2024 (Levorato); Soave DOC 2024 (Levorato); Amarone della Valpolicella Classico DOCG 2017 (Levorato); Chardonnay IGT Vento 2024 (Levorato)</t>
  </si>
  <si>
    <t xml:space="preserve">/wine-scan; /vinos; /blog/a-que-temperatura-servir-cada-vino; /blog/como-saber-que-tipo-de-vino-te-gusta</t>
  </si>
  <si>
    <t xml:space="preserve">2, 5, 17</t>
  </si>
  <si>
    <t xml:space="preserve">Probar el Wine Scan con una botella</t>
  </si>
  <si>
    <t xml:space="preserve">¿Qué significan DOC, IGT y DOCG en una etiqueta?</t>
  </si>
  <si>
    <t xml:space="preserve">¿Qué es la añada y qué tanto importa?</t>
  </si>
  <si>
    <t xml:space="preserve">¿La uva que aparece en la etiqueta dice cómo va a saber el vino?</t>
  </si>
  <si>
    <t xml:space="preserve">Ya existe en dev. Auditarlo contra esta fila (title, meta, H2 en forma de pregunta, FAQ, enlaces) y corregir solo lo necesario. Usar etiquetas reales del catálogo como ejemplos de DOC, IGT y DOCG.</t>
  </si>
  <si>
    <t xml:space="preserve">Sí (dev)</t>
  </si>
  <si>
    <t xml:space="preserve">Publicado en dev: auditar</t>
  </si>
  <si>
    <t xml:space="preserve">Publicación inmediata (hoy)</t>
  </si>
  <si>
    <t xml:space="preserve">Guía</t>
  </si>
  <si>
    <t xml:space="preserve">Guía N.º 02</t>
  </si>
  <si>
    <t xml:space="preserve">Guías de maridaje</t>
  </si>
  <si>
    <t xml:space="preserve">A qué temperatura servir cada vino</t>
  </si>
  <si>
    <t xml:space="preserve">a-que-temperatura-servir-cada-vino</t>
  </si>
  <si>
    <t xml:space="preserve">https://www.viviendovino.com/blog/a-que-temperatura-servir-cada-vino</t>
  </si>
  <si>
    <t xml:space="preserve">a qué temperatura servir el vino</t>
  </si>
  <si>
    <t xml:space="preserve">temperatura del vino tinto; temperatura del vino blanco; cuánto enfriar un vino; temperatura del espumoso; cómo enfriar vino rápido</t>
  </si>
  <si>
    <t xml:space="preserve">Informacional (consulta rápida)</t>
  </si>
  <si>
    <t xml:space="preserve">A qué temperatura servir cada vino | Viviendo Vino</t>
  </si>
  <si>
    <t xml:space="preserve">A qué temperatura servir vino tinto, blanco, rosado y espumoso, con una tabla sencilla y trucos para enfriar en casa. Incluye guía en PDF.</t>
  </si>
  <si>
    <t xml:space="preserve">700–1,000 + PDF 1 hoja</t>
  </si>
  <si>
    <t xml:space="preserve">acento</t>
  </si>
  <si>
    <t xml:space="preserve">02</t>
  </si>
  <si>
    <t xml:space="preserve">Prosecco DOC Spumante Brut Carlo V Imperial; Rosé Extra Dry Collevento 921; Sauvignon Blanc IGT Trevenezie 2024 (Levorato); Merlot IGT Veneto 2024 (Levorato); Valpolicella Ripasso Classico Superiore DOC 2020 (Levorato)</t>
  </si>
  <si>
    <t xml:space="preserve">/vinos; /blog/como-leer-la-etiqueta-de-un-vino; /blog/como-saber-que-tipo-de-vino-te-gusta; /arma-tu-kit</t>
  </si>
  <si>
    <t xml:space="preserve">1, 7, 13, 11</t>
  </si>
  <si>
    <t xml:space="preserve">Descargar la guía en PDF</t>
  </si>
  <si>
    <t xml:space="preserve">¿El vino tinto se sirve a temperatura ambiente?</t>
  </si>
  <si>
    <t xml:space="preserve">¿Cuánto tiempo hay que enfriar un vino blanco en el refrigerador?</t>
  </si>
  <si>
    <t xml:space="preserve">¿A qué temperatura se sirve un espumoso?</t>
  </si>
  <si>
    <t xml:space="preserve">Ya existe en dev, con PDF de ejemplo aprobado en diseño (1 hoja carta, tabla por tipo de vino con °C y columna 'En casa'). Pasar de ejemplo a real: quitar la etiqueta EJEMPLO del PDF y verificar los rangos de temperatura contra una fuente confiable.</t>
  </si>
  <si>
    <t xml:space="preserve">Del catálogo</t>
  </si>
  <si>
    <t xml:space="preserve">C · Ocasiones, regalos y compra</t>
  </si>
  <si>
    <t xml:space="preserve">Tu primera caja de vino: cómo armar un kit de 6 botellas que sí vas a disfrutar</t>
  </si>
  <si>
    <t xml:space="preserve">tu-primera-caja-de-vino</t>
  </si>
  <si>
    <t xml:space="preserve">https://www.viviendovino.com/blog/tu-primera-caja-de-vino</t>
  </si>
  <si>
    <t xml:space="preserve">cómo armar una caja de vino</t>
  </si>
  <si>
    <t xml:space="preserve">primera caja de vino; kit de vinos 6 botellas; caja de vino para principiantes; caja de vinos a domicilio</t>
  </si>
  <si>
    <t xml:space="preserve">Informacional + comercial</t>
  </si>
  <si>
    <t xml:space="preserve">Tu primera caja de vino: arma 6 botellas | Viviendo Vino</t>
  </si>
  <si>
    <t xml:space="preserve">Cómo armar tu primera caja de vino de 6 botellas: qué mezclar, cuántos tintos y blancos elegir y cómo ajustar el kit a tu gusto.</t>
  </si>
  <si>
    <t xml:space="preserve">claro</t>
  </si>
  <si>
    <t xml:space="preserve">03</t>
  </si>
  <si>
    <t xml:space="preserve">Pinot Grigio delle Venezie DOC 2024 (Levorato); Soave DOC 2024 (Levorato); Pinot Grigio delle Venezie DOC Blush rosado 2025 (Levorato); Merlot IGT Veneto 2024 (Levorato); Montepulciano d'Abruzzo DOC 2024 (Levorato); Prosecco DOC Spumante Brut Carlo V Imperial</t>
  </si>
  <si>
    <t xml:space="preserve">/arma-tu-kit; /quiz; /arma-tu-kit?kit=blancos-frescos&amp;agregar=1; /blog/como-saber-que-tipo-de-vino-te-gusta</t>
  </si>
  <si>
    <t xml:space="preserve">5, 6, 9</t>
  </si>
  <si>
    <t xml:space="preserve">Armar mi kit</t>
  </si>
  <si>
    <t xml:space="preserve">¿Puedo repetir el mismo vino dentro de la caja?</t>
  </si>
  <si>
    <t xml:space="preserve">¿Puedo mezclar tintos y blancos en una misma caja?</t>
  </si>
  <si>
    <t xml:space="preserve">¿El envío está incluido en el precio?</t>
  </si>
  <si>
    <t xml:space="preserve">Ya existe en dev. Verificar que las reglas de mezcla descritas coincidan con el constructor real y que no haya precios escritos a mano (usar siempre el componente dinámico de precios).</t>
  </si>
  <si>
    <t xml:space="preserve">Guía N.º 01</t>
  </si>
  <si>
    <t xml:space="preserve">Guía de maridaje: cómo combinar vino y comida sin reglas rígidas</t>
  </si>
  <si>
    <t xml:space="preserve">guia-de-maridaje-vino-y-comida</t>
  </si>
  <si>
    <t xml:space="preserve">https://www.viviendovino.com/blog/guia-de-maridaje-vino-y-comida</t>
  </si>
  <si>
    <t xml:space="preserve">guía de maridaje de vinos</t>
  </si>
  <si>
    <t xml:space="preserve">qué vino va con cada comida; maridaje de vino y comida; cómo combinar vino con comida; maridaje de vino pdf</t>
  </si>
  <si>
    <t xml:space="preserve">Informacional + descarga (lead magnet)</t>
  </si>
  <si>
    <t xml:space="preserve">Guía de maridaje: qué vino con cada comida | Viviendo Vino</t>
  </si>
  <si>
    <t xml:space="preserve">Descarga la guía de maridaje de Viviendo Vino: cómo combinar vino y comida según acidez, grasa, picante y cuerpo. Fácil de usar en la mesa.</t>
  </si>
  <si>
    <t xml:space="preserve">800–1,000 + PDF 1 hoja</t>
  </si>
  <si>
    <t xml:space="preserve">04</t>
  </si>
  <si>
    <t xml:space="preserve">Falanghina IGT Puglia (Levorato); Merlot IGT Veneto 2024 (Levorato); Montepulciano d'Abruzzo DOC 2024 (Levorato); Primitivo di Manduria DOC 2023 Villa Fulvia (Levorato); Prosecco DOC Spumante Brut Carlo V Imperial; Pinot Grigio delle Venezie DOC Blush rosado 2025 (Levorato)</t>
  </si>
  <si>
    <t xml:space="preserve">/blog/a-que-temperatura-servir-cada-vino; /blog/como-saber-que-tipo-de-vino-te-gusta; /vinos; /quiz</t>
  </si>
  <si>
    <t xml:space="preserve">2, 5, 20</t>
  </si>
  <si>
    <t xml:space="preserve">¿Se puede tomar vino tinto con pescado?</t>
  </si>
  <si>
    <t xml:space="preserve">¿Hay que combinar siempre el vino con la comida?</t>
  </si>
  <si>
    <t xml:space="preserve">¿Qué vino va mejor con comida picante?</t>
  </si>
  <si>
    <t xml:space="preserve">Guía de una hoja con el mismo diseño del PDF de temperatura. Organizada por principios (acidez, grasa, picante, dulzor, cuerpo) y no por platillos. Cada principio con un estilo de vino del catálogo como ejemplo. Sin frases hechas de maridaje; lenguaje natural según el manual de marca.</t>
  </si>
  <si>
    <t xml:space="preserve">No (por redactar)</t>
  </si>
  <si>
    <t xml:space="preserve">Redactar y publicar hoy</t>
  </si>
  <si>
    <t xml:space="preserve">Blanco, tinto, rosado o espumoso: cómo saber cuál te gusta</t>
  </si>
  <si>
    <t xml:space="preserve">como-saber-que-tipo-de-vino-te-gusta</t>
  </si>
  <si>
    <t xml:space="preserve">https://www.viviendovino.com/blog/como-saber-que-tipo-de-vino-te-gusta</t>
  </si>
  <si>
    <t xml:space="preserve">qué tipo de vino me gusta</t>
  </si>
  <si>
    <t xml:space="preserve">tipos de vino; vino para principiantes; vino seco o dulce; cómo elegir un vino</t>
  </si>
  <si>
    <t xml:space="preserve">Informacional (orientación)</t>
  </si>
  <si>
    <t xml:space="preserve">Cómo saber qué tipo de vino te gusta | Viviendo Vino</t>
  </si>
  <si>
    <t xml:space="preserve">¿No sabes qué vino elegir? Una forma sencilla de descubrir si te gustan los blancos, tintos, rosados o espumosos, con pistas fáciles de probar.</t>
  </si>
  <si>
    <t xml:space="preserve">vino</t>
  </si>
  <si>
    <t xml:space="preserve">05</t>
  </si>
  <si>
    <t xml:space="preserve">Pinot Grigio delle Venezie DOC 2024 (Levorato); Merlot IGT Veneto 2024 (Levorato); Pinot Grigio delle Venezie DOC Blush rosado 2025 (Levorato); Prosecco DOC Spumante Brut Carlo V Imperial; Montepulciano d'Abruzzo DOC 2024 (Levorato)</t>
  </si>
  <si>
    <t xml:space="preserve">/quiz; /arma-tu-kit; /blog/tu-primera-caja-de-vino; /vinos</t>
  </si>
  <si>
    <t xml:space="preserve">1, 3, 4, 16</t>
  </si>
  <si>
    <t xml:space="preserve">Hacer el quiz</t>
  </si>
  <si>
    <t xml:space="preserve">¿Cuál es la diferencia entre un vino seco y uno dulce?</t>
  </si>
  <si>
    <t xml:space="preserve">¿Con qué vino conviene empezar?</t>
  </si>
  <si>
    <t xml:space="preserve">¿Cómo sé si me gustan más los tintos o los blancos?</t>
  </si>
  <si>
    <t xml:space="preserve">Pieza de entrada para principiantes. Un recorrido por 4 estilos con una pregunta simple para cada uno y un vino del catálogo como ejemplo. Termina empujando al quiz.</t>
  </si>
  <si>
    <t xml:space="preserve">Comprar vino en línea en México: qué revisar antes de pagar</t>
  </si>
  <si>
    <t xml:space="preserve">comprar-vino-en-linea-mexico</t>
  </si>
  <si>
    <t xml:space="preserve">https://www.viviendovino.com/blog/comprar-vino-en-linea-mexico</t>
  </si>
  <si>
    <t xml:space="preserve">comprar vino en línea</t>
  </si>
  <si>
    <t xml:space="preserve">comprar vino por internet México; tienda de vino en línea; vino a domicilio; envío de vino</t>
  </si>
  <si>
    <t xml:space="preserve">Comercial (investigación)</t>
  </si>
  <si>
    <t xml:space="preserve">Comprar vino en línea en México | Viviendo Vino</t>
  </si>
  <si>
    <t xml:space="preserve">Qué revisar antes de comprar vino en línea en México: origen, envío, factura y cómo saber que tu botella llega en buen estado.</t>
  </si>
  <si>
    <t xml:space="preserve">900–1,100</t>
  </si>
  <si>
    <t xml:space="preserve">06</t>
  </si>
  <si>
    <t xml:space="preserve">Pinot Grigio delle Venezie DOC 2024 (Levorato); Merlot IGT Veneto 2024 (Levorato); Prosecco DOC Spumante Brut Carlo V Imperial</t>
  </si>
  <si>
    <t xml:space="preserve">/envios; /preguntas-frecuentes; /terminos; /arma-tu-kit</t>
  </si>
  <si>
    <t xml:space="preserve">3, 9</t>
  </si>
  <si>
    <t xml:space="preserve">¿Es seguro comprar vino por internet?</t>
  </si>
  <si>
    <t xml:space="preserve">¿Cómo llega el vino cuando se compra en línea?</t>
  </si>
  <si>
    <t xml:space="preserve">¿Puedo pedir factura de mi compra?</t>
  </si>
  <si>
    <t xml:space="preserve">Lista de revisión para el comprador, con Viviendo Vino como ejemplo honesto. Toda política (envío, factura, devoluciones) se copia de /envios, /terminos y /preguntas-frecuentes; no inventar plazos ni condiciones.</t>
  </si>
  <si>
    <t xml:space="preserve">Jueves</t>
  </si>
  <si>
    <t xml:space="preserve">B · Vinos del catálogo por estilo</t>
  </si>
  <si>
    <t xml:space="preserve">Prosecco: qué es, cómo se hace y cuándo servirlo</t>
  </si>
  <si>
    <t xml:space="preserve">que-es-el-prosecco</t>
  </si>
  <si>
    <t xml:space="preserve">https://www.viviendovino.com/blog/que-es-el-prosecco</t>
  </si>
  <si>
    <t xml:space="preserve">qué es el prosecco</t>
  </si>
  <si>
    <t xml:space="preserve">prosecco brut; prosecco vs champagne; diferencia entre brut y extra dry; prosecco DOC; cómo servir prosecco</t>
  </si>
  <si>
    <t xml:space="preserve">Informacional</t>
  </si>
  <si>
    <t xml:space="preserve">Qué es el Prosecco y cuándo servirlo | Viviendo Vino</t>
  </si>
  <si>
    <t xml:space="preserve">Qué es el Prosecco, en qué se diferencia del champagne y qué significan Brut y Extra Dry. Cuándo servirlo y cómo elegir el tuyo.</t>
  </si>
  <si>
    <t xml:space="preserve">07</t>
  </si>
  <si>
    <t xml:space="preserve">Prosecco DOC Spumante Brut Carlo V Imperial; Rosé Extra Dry Collevento 921</t>
  </si>
  <si>
    <t xml:space="preserve">/vinos; /blog/a-que-temperatura-servir-cada-vino; /arma-tu-kit</t>
  </si>
  <si>
    <t xml:space="preserve">2, 11, 18</t>
  </si>
  <si>
    <t xml:space="preserve">Ver los espumosos</t>
  </si>
  <si>
    <t xml:space="preserve">¿Qué diferencia hay entre Prosecco y champagne?</t>
  </si>
  <si>
    <t xml:space="preserve">¿Qué significa Brut y qué significa Extra Dry?</t>
  </si>
  <si>
    <t xml:space="preserve">¿El Prosecco se toma solo o con comida?</t>
  </si>
  <si>
    <t xml:space="preserve">Explicar Brut vs Extra Dry (el Extra Dry es un poco más dulce) con las dos botellas reales. Sin afirmar datos de producción de las marcas que no estén en el catálogo.</t>
  </si>
  <si>
    <t xml:space="preserve">Idea aprobada</t>
  </si>
  <si>
    <t xml:space="preserve">Día de lanzamiento de la tienda</t>
  </si>
  <si>
    <t xml:space="preserve">Guía N.º 03</t>
  </si>
  <si>
    <t xml:space="preserve">Cuántas botellas de vino comprar para una cena o posada</t>
  </si>
  <si>
    <t xml:space="preserve">cuantas-botellas-de-vino-por-persona</t>
  </si>
  <si>
    <t xml:space="preserve">https://www.viviendovino.com/blog/cuantas-botellas-de-vino-por-persona</t>
  </si>
  <si>
    <t xml:space="preserve">cuántas botellas de vino por persona</t>
  </si>
  <si>
    <t xml:space="preserve">cuánto vino comprar para una fiesta; vino para navidad; vino para posada; vino para año nuevo</t>
  </si>
  <si>
    <t xml:space="preserve">Informacional + descarga</t>
  </si>
  <si>
    <t xml:space="preserve">Cuántas botellas de vino por persona | Viviendo Vino</t>
  </si>
  <si>
    <t xml:space="preserve">Cuántas botellas de vino comprar según tus invitados y las horas de la reunión. Descarga la tabla en PDF y arma tu kit para las fiestas.</t>
  </si>
  <si>
    <t xml:space="preserve">08</t>
  </si>
  <si>
    <t xml:space="preserve">Prosecco DOC Spumante Brut Carlo V Imperial; Merlot IGT Veneto 2024 (Levorato); Pinot Grigio delle Venezie DOC 2024 (Levorato); Montepulciano d'Abruzzo DOC 2024 (Levorato)</t>
  </si>
  <si>
    <t xml:space="preserve">/arma-tu-kit; /quiz; /blog/tu-primera-caja-de-vino</t>
  </si>
  <si>
    <t xml:space="preserve">3, 9, 11</t>
  </si>
  <si>
    <t xml:space="preserve">¿Cuántas copas salen de una botella de vino?</t>
  </si>
  <si>
    <t xml:space="preserve">¿Cuánto vino se toma por persona en una cena?</t>
  </si>
  <si>
    <t xml:space="preserve">¿Cuántas botellas necesito para 10 personas?</t>
  </si>
  <si>
    <t xml:space="preserve">Estacional (fiestas). Tabla por número de invitados y duración, con propuesta de kit de 6 botellas por tamaño de reunión. Cifras de referencia sencillas y verificadas.</t>
  </si>
  <si>
    <t xml:space="preserve">Qué vino regalar: cómo elegir bien sin ser experto</t>
  </si>
  <si>
    <t xml:space="preserve">que-vino-regalar</t>
  </si>
  <si>
    <t xml:space="preserve">https://www.viviendovino.com/blog/que-vino-regalar</t>
  </si>
  <si>
    <t xml:space="preserve">qué vino regalar</t>
  </si>
  <si>
    <t xml:space="preserve">vino para regalo; regalo de vino navidad; vino para regalar a un conocedor; regalar una caja de vino</t>
  </si>
  <si>
    <t xml:space="preserve">Comercial (regalo)</t>
  </si>
  <si>
    <t xml:space="preserve">Qué vino regalar sin ser experto | Viviendo Vino</t>
  </si>
  <si>
    <t xml:space="preserve">Qué vino regalar según la persona y el presupuesto. Ideas claras para acertar, y cómo regalar una caja de 6 botellas armada a su gusto.</t>
  </si>
  <si>
    <t xml:space="preserve">09</t>
  </si>
  <si>
    <t xml:space="preserve">Amarone della Valpolicella Classico DOCG 2017 (Levorato); Rosso Veneto IGT 2018 Don Carlo (Levorato); Primitivo di Manduria DOC 2023 Villa Fulvia (Levorato); Valpolicella Ripasso Classico Superiore DOC 2020 (Levorato); Prosecco DOC Spumante Brut Carlo V Imperial</t>
  </si>
  <si>
    <t xml:space="preserve">/arma-tu-kit; /quiz; /envios; /blog/tu-primera-caja-de-vino</t>
  </si>
  <si>
    <t xml:space="preserve">3, 6, 18</t>
  </si>
  <si>
    <t xml:space="preserve">Armar un kit para regalar</t>
  </si>
  <si>
    <t xml:space="preserve">¿Qué vino se le regala a alguien que sabe de vino?</t>
  </si>
  <si>
    <t xml:space="preserve">¿Cuánto se debe gastar en un vino de regalo?</t>
  </si>
  <si>
    <t xml:space="preserve">¿Se puede regalar una caja de vino armada por mí?</t>
  </si>
  <si>
    <t xml:space="preserve">Publicación a tiempo para Navidad. Elegir por tipo de persona, no por lista de precios. No prometer fechas de entrega ni fechas límite de pedido: remitir a /envios.</t>
  </si>
  <si>
    <t xml:space="preserve">Qué vino llevar a una cena cuando te invitan</t>
  </si>
  <si>
    <t xml:space="preserve">que-vino-llevar-a-una-cena</t>
  </si>
  <si>
    <t xml:space="preserve">https://www.viviendovino.com/blog/que-vino-llevar-a-una-cena</t>
  </si>
  <si>
    <t xml:space="preserve">qué vino llevar a una cena</t>
  </si>
  <si>
    <t xml:space="preserve">qué vino llevar a una fiesta; qué vino llevar a una posada; vino para regalar al anfitrión; vino para llevar a una reunión</t>
  </si>
  <si>
    <t xml:space="preserve">Informacional + comercial (ocasión)</t>
  </si>
  <si>
    <t xml:space="preserve">Qué vino llevar a una cena | Viviendo Vino</t>
  </si>
  <si>
    <t xml:space="preserve">Qué vino llevar cuando te invitan a cenar: cómo elegir según el menú y el anfitrión, sin gastar de más y sin quedar mal.</t>
  </si>
  <si>
    <t xml:space="preserve">800–1,100</t>
  </si>
  <si>
    <t xml:space="preserve">10</t>
  </si>
  <si>
    <t xml:space="preserve">Pinot Grigio delle Venezie DOC 2024 (Levorato); Merlot IGT Veneto 2024 (Levorato); Montepulciano d'Abruzzo DOC 2024 (Levorato); Prosecco DOC Spumante Brut Carlo V Imperial; Primitivo di Manduria DOC 2023 Villa Fulvia (Levorato)</t>
  </si>
  <si>
    <t xml:space="preserve">/arma-tu-kit; /quiz; /blog/que-vino-regalar; /blog/a-que-temperatura-servir-cada-vino</t>
  </si>
  <si>
    <t xml:space="preserve">3, 8, 9</t>
  </si>
  <si>
    <t xml:space="preserve">Armar un kit</t>
  </si>
  <si>
    <t xml:space="preserve">¿Qué vino se lleva cuando te invitan a cenar?</t>
  </si>
  <si>
    <t xml:space="preserve">¿Hay que llevar el vino frío?</t>
  </si>
  <si>
    <t xml:space="preserve">¿El anfitrión tiene que abrir el vino que llevas?</t>
  </si>
  <si>
    <t xml:space="preserve">Estacional (posadas y cenas). Elegir por situación (cena formal, reunión informal, anfitrión que sabe de vino) y no por lista de marcas. Mantenerlo práctico, sin reglas de etiqueta inventadas.</t>
  </si>
  <si>
    <t xml:space="preserve">Cómo abrir una botella de espumoso sin accidentes</t>
  </si>
  <si>
    <t xml:space="preserve">como-abrir-una-botella-de-espumoso</t>
  </si>
  <si>
    <t xml:space="preserve">https://www.viviendovino.com/blog/como-abrir-una-botella-de-espumoso</t>
  </si>
  <si>
    <t xml:space="preserve">cómo abrir una botella de espumoso</t>
  </si>
  <si>
    <t xml:space="preserve">cómo abrir prosecco; cómo servir espumoso; abrir botella de vino espumoso; brindis año nuevo</t>
  </si>
  <si>
    <t xml:space="preserve">Informacional (paso a paso)</t>
  </si>
  <si>
    <t xml:space="preserve">Cómo abrir una botella de espumoso | Viviendo Vino</t>
  </si>
  <si>
    <t xml:space="preserve">Paso a paso para abrir una botella de espumoso sin accidentes y servirla bien para el brindis. Con trucos para que no se desperdicie.</t>
  </si>
  <si>
    <t xml:space="preserve">500–700</t>
  </si>
  <si>
    <t xml:space="preserve">11</t>
  </si>
  <si>
    <t xml:space="preserve">/blog/que-es-el-prosecco; /blog/a-que-temperatura-servir-cada-vino</t>
  </si>
  <si>
    <t xml:space="preserve">2, 7</t>
  </si>
  <si>
    <t xml:space="preserve">¿Cómo se abre una botella de espumoso sin que salga volando el corcho?</t>
  </si>
  <si>
    <t xml:space="preserve">¿Por qué sale tanta espuma al abrirla?</t>
  </si>
  <si>
    <t xml:space="preserve">¿Cuánto tiempo antes hay que enfriar el espumoso?</t>
  </si>
  <si>
    <t xml:space="preserve">Pieza corta y de utilidad para el brindis; sale una semana antes de Nochebuena.</t>
  </si>
  <si>
    <t xml:space="preserve">Cómo probar un vino en casa: vista, olfato y sabor sin complicarte</t>
  </si>
  <si>
    <t xml:space="preserve">como-catar-vino-en-casa</t>
  </si>
  <si>
    <t xml:space="preserve">https://www.viviendovino.com/blog/como-catar-vino-en-casa</t>
  </si>
  <si>
    <t xml:space="preserve">cómo catar un vino</t>
  </si>
  <si>
    <t xml:space="preserve">cómo probar un vino; cata de vino en casa; cómo se prueba el vino; cómo describir el sabor del vino</t>
  </si>
  <si>
    <t xml:space="preserve">Cómo catar un vino en casa | Viviendo Vino</t>
  </si>
  <si>
    <t xml:space="preserve">Aprende a probar un vino en casa en tres pasos: vista, olfato y sabor. Sin términos raros y con un ejercicio para hacer con tu próximo kit.</t>
  </si>
  <si>
    <t xml:space="preserve">12</t>
  </si>
  <si>
    <t xml:space="preserve">Traminer Aromatico IGT Trevenezie 2025 (Levorato); Primitivo di Manduria DOC 2023 Villa Fulvia (Levorato); Pinot Grigio delle Venezie DOC 2024 (Levorato)</t>
  </si>
  <si>
    <t xml:space="preserve">/arma-tu-kit; /quiz; /wine-scan; /blog/como-saber-que-tipo-de-vino-te-gusta</t>
  </si>
  <si>
    <t xml:space="preserve">1, 5</t>
  </si>
  <si>
    <t xml:space="preserve">¿Cómo se prueba un vino paso a paso?</t>
  </si>
  <si>
    <t xml:space="preserve">¿Hace falta una copa especial para probar vino?</t>
  </si>
  <si>
    <t xml:space="preserve">¿Cómo describir lo que sabe un vino si no sé de vinos?</t>
  </si>
  <si>
    <t xml:space="preserve">Ideal para propósitos de año nuevo. Ejercicio con 3 vinos del catálogo de estilos distintos. Prohibido usar jerga de sommelier: si hay un término técnico, explicarlo en una frase. Jueves 24 de diciembre: contenido ligero, programar con anticipación.</t>
  </si>
  <si>
    <t xml:space="preserve">Víspera festiva: contenido ligero, programar con anticipación</t>
  </si>
  <si>
    <t xml:space="preserve">Cuánto dura un vino abierto y cómo conservarlo</t>
  </si>
  <si>
    <t xml:space="preserve">cuanto-dura-un-vino-abierto</t>
  </si>
  <si>
    <t xml:space="preserve">https://www.viviendovino.com/blog/cuanto-dura-un-vino-abierto</t>
  </si>
  <si>
    <t xml:space="preserve">cuánto dura un vino abierto</t>
  </si>
  <si>
    <t xml:space="preserve">cómo conservar el vino abierto; guardar vino después de abrir; vino abierto en el refrigerador; cuánto dura el espumoso abierto</t>
  </si>
  <si>
    <t xml:space="preserve">Cuánto dura un vino abierto | Viviendo Vino</t>
  </si>
  <si>
    <t xml:space="preserve">Cuánto dura un vino abierto según su tipo, cómo guardarlo y cómo saber si ya se echó a perder. Trucos fáciles para no desperdiciar.</t>
  </si>
  <si>
    <t xml:space="preserve">700–1,000</t>
  </si>
  <si>
    <t xml:space="preserve">13</t>
  </si>
  <si>
    <t xml:space="preserve">Prosecco DOC Spumante Brut Carlo V Imperial; Merlot IGT Veneto 2024 (Levorato); Pinot Grigio delle Venezie DOC 2024 (Levorato)</t>
  </si>
  <si>
    <t xml:space="preserve">/blog/a-que-temperatura-servir-cada-vino; /arma-tu-kit</t>
  </si>
  <si>
    <t xml:space="preserve">2, 11</t>
  </si>
  <si>
    <t xml:space="preserve">¿Cuánto dura un vino tinto abierto?</t>
  </si>
  <si>
    <t xml:space="preserve">¿El vino abierto se guarda en el refrigerador?</t>
  </si>
  <si>
    <t xml:space="preserve">¿Cómo sé si un vino ya se echó a perder?</t>
  </si>
  <si>
    <t xml:space="preserve">Artículo útil para el día después de las fiestas. Jueves 31 de diciembre: contenido ligero, programar con anticipación. Dar rangos de días por tipo (espumoso, blanco, tinto) y ayudar a reconocer vino echado a perder en palabras sencillas.</t>
  </si>
  <si>
    <t xml:space="preserve">Valpolicella, Ripasso y Amarone: tres vinos de una misma región</t>
  </si>
  <si>
    <t xml:space="preserve">valpolicella-ripasso-amarone-diferencias</t>
  </si>
  <si>
    <t xml:space="preserve">https://www.viviendovino.com/blog/valpolicella-ripasso-amarone-diferencias</t>
  </si>
  <si>
    <t xml:space="preserve">diferencia entre ripasso y amarone</t>
  </si>
  <si>
    <t xml:space="preserve">qué es el amarone; valpolicella ripasso; amarone della valpolicella; vino valpolicella</t>
  </si>
  <si>
    <t xml:space="preserve">Valpolicella, Ripasso y Amarone: diferencias | Viviendo Vino</t>
  </si>
  <si>
    <t xml:space="preserve">Valpolicella, Ripasso y Amarone vienen de la misma región pero no son lo mismo. Cómo se diferencian y cuál conviene según la ocasión.</t>
  </si>
  <si>
    <t xml:space="preserve">14</t>
  </si>
  <si>
    <t xml:space="preserve">Valpolicella Ripasso Classico Superiore DOC 2020 (Levorato); Amarone della Valpolicella Classico DOCG 2017 (Levorato)</t>
  </si>
  <si>
    <t xml:space="preserve">/vinos; /blog/que-vino-regalar; /blog/como-leer-la-etiqueta-de-un-vino</t>
  </si>
  <si>
    <t xml:space="preserve">1, 9, 15</t>
  </si>
  <si>
    <t xml:space="preserve">Ver los tintos del catálogo</t>
  </si>
  <si>
    <t xml:space="preserve">¿Qué diferencia hay entre Ripasso y Amarone?</t>
  </si>
  <si>
    <t xml:space="preserve">¿El Amarone se toma solo o con comida?</t>
  </si>
  <si>
    <t xml:space="preserve">¿Cuánto tiempo se puede guardar un Amarone?</t>
  </si>
  <si>
    <t xml:space="preserve">Solo afirmar lo que se sabe del estilo en general y lo que dice la etiqueta de las dos botellas del catálogo. No inventar notas de cata ni historia de la bodega.</t>
  </si>
  <si>
    <t xml:space="preserve">Primitivo: qué es y cómo comparar dos del catálogo</t>
  </si>
  <si>
    <t xml:space="preserve">primitivo-que-es-y-como-elegir</t>
  </si>
  <si>
    <t xml:space="preserve">https://www.viviendovino.com/blog/primitivo-que-es-y-como-elegir</t>
  </si>
  <si>
    <t xml:space="preserve">primitivo vino</t>
  </si>
  <si>
    <t xml:space="preserve">qué es el primitivo; primitivo di manduria; primitivo vs zinfandel; vino primitivo puglia</t>
  </si>
  <si>
    <t xml:space="preserve">Primitivo: qué es y cuál elegir | Viviendo Vino</t>
  </si>
  <si>
    <t xml:space="preserve">Qué es el Primitivo, de dónde viene y cómo se diferencian dos Primitivo del catálogo: Villa Fulvia de Manduria y Rocca, Double Gold.</t>
  </si>
  <si>
    <t xml:space="preserve">15</t>
  </si>
  <si>
    <t xml:space="preserve">Primitivo di Manduria DOC 2023 Villa Fulvia (Levorato); Primitivo Rocca 2025 (Double Gold); Sangiovese Puglia IGT 2024 Bodega Rocca (Double Gold)</t>
  </si>
  <si>
    <t xml:space="preserve">/vinos; /arma-tu-kit; /blog/como-leer-la-etiqueta-de-un-vino</t>
  </si>
  <si>
    <t xml:space="preserve">14, 19</t>
  </si>
  <si>
    <t xml:space="preserve">¿Qué es el vino Primitivo?</t>
  </si>
  <si>
    <t xml:space="preserve">¿El Primitivo y el Zinfandel son la misma uva?</t>
  </si>
  <si>
    <t xml:space="preserve">¿Con qué comida se disfruta un Primitivo?</t>
  </si>
  <si>
    <t xml:space="preserve">Comparación honesta de dos botellas. Mencionar el premio Double Gold solo como aparece en el catálogo. Datos generales de la uva verificados con una fuente antes de publicar.</t>
  </si>
  <si>
    <t xml:space="preserve">Pinot Grigio, Sauvignon Blanc, Chardonnay, Soave y Falanghina: cuál blanco elegir</t>
  </si>
  <si>
    <t xml:space="preserve">como-elegir-vino-blanco</t>
  </si>
  <si>
    <t xml:space="preserve">https://www.viviendovino.com/blog/como-elegir-vino-blanco</t>
  </si>
  <si>
    <t xml:space="preserve">cómo elegir un vino blanco</t>
  </si>
  <si>
    <t xml:space="preserve">tipos de vino blanco; pinot grigio vs sauvignon blanc; vino blanco seco; vino blanco ligero</t>
  </si>
  <si>
    <t xml:space="preserve">Cómo elegir un vino blanco | Viviendo Vino</t>
  </si>
  <si>
    <t xml:space="preserve">Cómo elegir un vino blanco entre Pinot Grigio, Sauvignon Blanc, Chardonnay, Soave y Falanghina, con una guía rápida por estilo.</t>
  </si>
  <si>
    <t xml:space="preserve">1,000–1,300</t>
  </si>
  <si>
    <t xml:space="preserve">16</t>
  </si>
  <si>
    <t xml:space="preserve">Pinot Grigio delle Venezie DOC 2024 (Levorato); Sauvignon Blanc IGT Trevenezie 2024 (Levorato); Chardonnay IGT Vento 2024 (Levorato); Soave DOC 2024 (Levorato); Falanghina IGT Puglia (Levorato); Traminer Aromatico IGT Trevenezie 2025 (Levorato)</t>
  </si>
  <si>
    <t xml:space="preserve">/vinos#blancos-rosado; /arma-tu-kit?kit=blancos-frescos&amp;agregar=1; /blog/como-saber-que-tipo-de-vino-te-gusta</t>
  </si>
  <si>
    <t xml:space="preserve">5, 18, 21</t>
  </si>
  <si>
    <t xml:space="preserve">Ver los blancos del catálogo</t>
  </si>
  <si>
    <t xml:space="preserve">¿Cuál es la diferencia entre Pinot Grigio y Sauvignon Blanc?</t>
  </si>
  <si>
    <t xml:space="preserve">¿Qué vino blanco es más ligero?</t>
  </si>
  <si>
    <t xml:space="preserve">¿Qué vino blanco es mejor para empezar?</t>
  </si>
  <si>
    <t xml:space="preserve">Pieza fuerte de catálogo: cubre 6 de los 7 blancos y rosados con un criterio por estilo (ligero, aromático, con más cuerpo). Cada vino con tarjeta de producto.</t>
  </si>
  <si>
    <t xml:space="preserve">Guía N.º 04</t>
  </si>
  <si>
    <t xml:space="preserve">Guía de bolsillo: los 19 vinos de Viviendo Vino de un vistazo</t>
  </si>
  <si>
    <t xml:space="preserve">guia-de-vinos-italianos-viviendo-vino</t>
  </si>
  <si>
    <t xml:space="preserve">https://www.viviendovino.com/blog/guia-de-vinos-italianos-viviendo-vino</t>
  </si>
  <si>
    <t xml:space="preserve">guía de vinos italianos</t>
  </si>
  <si>
    <t xml:space="preserve">catálogo de vinos italianos; vinos italianos para principiantes; vinos de Veneto; vinos de Puglia</t>
  </si>
  <si>
    <t xml:space="preserve">Guía de vinos italianos: los 19 de la casa | Viviendo Vino</t>
  </si>
  <si>
    <t xml:space="preserve">Descarga la guía de bolsillo con los 19 vinos italianos de Viviendo Vino: cómo es cada uno, a qué temperatura servirlo y cuándo elegirlo.</t>
  </si>
  <si>
    <t xml:space="preserve">600–800 + PDF 1 o 2 hojas</t>
  </si>
  <si>
    <t xml:space="preserve">17</t>
  </si>
  <si>
    <t xml:space="preserve">Los 19 vinos</t>
  </si>
  <si>
    <t xml:space="preserve">/vinos; /arma-tu-kit; /quiz; /wine-scan</t>
  </si>
  <si>
    <t xml:space="preserve">todos</t>
  </si>
  <si>
    <t xml:space="preserve">¿Cuáles son los vinos más fáciles de tomar para empezar?</t>
  </si>
  <si>
    <t xml:space="preserve">¿Qué vinos del catálogo son tintos con más cuerpo?</t>
  </si>
  <si>
    <t xml:space="preserve">¿Cómo elijo entre tantos vinos?</t>
  </si>
  <si>
    <t xml:space="preserve">Ficha por vino con estilo, temperatura y ocasión. Si el catálogo cambia, actualizar el PDF y la fecha de actualización. No incluir precios en el PDF (cambian).</t>
  </si>
  <si>
    <t xml:space="preserve">Vino para San Valentín: rosado, espumoso o tinto</t>
  </si>
  <si>
    <t xml:space="preserve">vino-para-san-valentin</t>
  </si>
  <si>
    <t xml:space="preserve">https://www.viviendovino.com/blog/vino-para-san-valentin</t>
  </si>
  <si>
    <t xml:space="preserve">vino para san valentín</t>
  </si>
  <si>
    <t xml:space="preserve">qué vino tomar en san valentín; vino rosado para cena romántica; vino para una cena en pareja; espumoso para san valentín</t>
  </si>
  <si>
    <t xml:space="preserve">Comercial (ocasión)</t>
  </si>
  <si>
    <t xml:space="preserve">Vino para San Valentín: qué elegir | Viviendo Vino</t>
  </si>
  <si>
    <t xml:space="preserve">Qué vino elegir para San Valentín: rosado, espumoso o tinto. Opciones sencillas según tu cena y tu presupuesto, y un kit para dos.</t>
  </si>
  <si>
    <t xml:space="preserve">18</t>
  </si>
  <si>
    <t xml:space="preserve">Pinot Grigio delle Venezie DOC Blush rosado 2025 (Levorato); Rosé Extra Dry Collevento 921; Prosecco DOC Spumante Brut Carlo V Imperial; Langhe Nebbiolo (Bertino Fiorella)</t>
  </si>
  <si>
    <t xml:space="preserve">/arma-tu-kit; /quiz; /blog/que-es-el-prosecco; /blog/que-es-el-vino-rosado</t>
  </si>
  <si>
    <t xml:space="preserve">7, 9, 21</t>
  </si>
  <si>
    <t xml:space="preserve">Armar un kit para la ocasión</t>
  </si>
  <si>
    <t xml:space="preserve">¿Qué vino se toma en una cena de San Valentín?</t>
  </si>
  <si>
    <t xml:space="preserve">¿El vino rosado es buena opción para una cena romántica?</t>
  </si>
  <si>
    <t xml:space="preserve">¿Qué espumoso conviene para un brindis en pareja?</t>
  </si>
  <si>
    <t xml:space="preserve">Publicación 10 días antes del 14 de febrero (jueves 4 de febrero). No prometer fechas de entrega ni fechas límite de pedido: remitir a /envios.</t>
  </si>
  <si>
    <t xml:space="preserve">Tinto de diario: cómo elegir un buen tinto sin gastar de más</t>
  </si>
  <si>
    <t xml:space="preserve">tinto-de-diario-como-elegir</t>
  </si>
  <si>
    <t xml:space="preserve">https://www.viviendovino.com/blog/tinto-de-diario-como-elegir</t>
  </si>
  <si>
    <t xml:space="preserve">vino tinto económico</t>
  </si>
  <si>
    <t xml:space="preserve">mejor vino tinto para diario; vino tinto calidad precio; tintos fáciles de tomar; vino tinto para todos los días</t>
  </si>
  <si>
    <t xml:space="preserve">Comercial + informacional</t>
  </si>
  <si>
    <t xml:space="preserve">Vino tinto para diario: cómo elegir | Viviendo Vino</t>
  </si>
  <si>
    <t xml:space="preserve">Cómo elegir un buen vino tinto para diario sin gastar de más. Cinco tintos fáciles de tomar del catálogo y para qué momento sirve cada uno.</t>
  </si>
  <si>
    <t xml:space="preserve">19</t>
  </si>
  <si>
    <t xml:space="preserve">Montepulciano d'Abruzzo DOC 2024 (Levorato); Merlot IGT Veneto 2024 (Levorato); Cabernet Sauvignon IGT Veneto 2024 (Levorato); Sangiovese Puglia IGT 2024 Bodega Rocca (Double Gold); Primitivo Rocca 2025 (Double Gold)</t>
  </si>
  <si>
    <t xml:space="preserve">/vinos; /arma-tu-kit; /arma-tu-kit?kit=tintos-de-diario&amp;agregar=1 (verificar el slug real)</t>
  </si>
  <si>
    <t xml:space="preserve">15, 3</t>
  </si>
  <si>
    <t xml:space="preserve">Ver los tintos de diario</t>
  </si>
  <si>
    <t xml:space="preserve">¿Qué vino tinto es bueno y no es caro?</t>
  </si>
  <si>
    <t xml:space="preserve">¿Qué tinto es más suave para empezar?</t>
  </si>
  <si>
    <t xml:space="preserve">¿Cuánto dura un tinto abierto?</t>
  </si>
  <si>
    <t xml:space="preserve">Hablar de precio sin escribir cifras: usar siempre el componente dinámico de precios. Verificar el slug real del kit de tintos antes de enlazar.</t>
  </si>
  <si>
    <t xml:space="preserve">Vino y comida picante: cómo combinarlos sin que se pierda el sabor</t>
  </si>
  <si>
    <t xml:space="preserve">vino-con-comida-picante</t>
  </si>
  <si>
    <t xml:space="preserve">https://www.viviendovino.com/blog/vino-con-comida-picante</t>
  </si>
  <si>
    <t xml:space="preserve">vino para comida picante</t>
  </si>
  <si>
    <t xml:space="preserve">vino con comida mexicana; qué vino va con picante; vino rosado con picante; vino blanco con picante</t>
  </si>
  <si>
    <t xml:space="preserve">Qué vino tomar con comida picante | Viviendo Vino</t>
  </si>
  <si>
    <t xml:space="preserve">Qué vino tomar con comida picante y por qué cambia todo. Principios claros para elegir bien con la cocina mexicana, sin fórmulas rígidas.</t>
  </si>
  <si>
    <t xml:space="preserve">20</t>
  </si>
  <si>
    <t xml:space="preserve">Traminer Aromatico IGT Trevenezie 2025 (Levorato); Pinot Grigio delle Venezie DOC Blush rosado 2025 (Levorato); Falanghina IGT Puglia (Levorato); Prosecco DOC Spumante Brut Carlo V Imperial</t>
  </si>
  <si>
    <t xml:space="preserve">/blog/guia-de-maridaje-vino-y-comida; /vinos; /quiz</t>
  </si>
  <si>
    <t xml:space="preserve">4, 16, 21</t>
  </si>
  <si>
    <t xml:space="preserve">¿Qué vino va bien con comida picante?</t>
  </si>
  <si>
    <t xml:space="preserve">¿El vino tinto sirve con picante?</t>
  </si>
  <si>
    <t xml:space="preserve">¿Por qué el picante cambia el sabor del vino?</t>
  </si>
  <si>
    <t xml:space="preserve">Explicar qué hace el picante con el vino (alcohol, dulzor, acidez) y de ahí sacar criterios. Cero listas de platillos de moda ni frases hechas. Verificar con cuidado los hechos sobre el picante y el vino.</t>
  </si>
  <si>
    <t xml:space="preserve">Vino rosado: qué es, cómo se hace y cuándo conviene</t>
  </si>
  <si>
    <t xml:space="preserve">que-es-el-vino-rosado</t>
  </si>
  <si>
    <t xml:space="preserve">https://www.viviendovino.com/blog/que-es-el-vino-rosado</t>
  </si>
  <si>
    <t xml:space="preserve">qué es el vino rosado</t>
  </si>
  <si>
    <t xml:space="preserve">cómo se hace el vino rosado; vino rosado seco; diferencia entre rosado y tinto; cuándo tomar vino rosado</t>
  </si>
  <si>
    <t xml:space="preserve">Qué es el vino rosado | Viviendo Vino</t>
  </si>
  <si>
    <t xml:space="preserve">Qué es el vino rosado, cómo se hace, en qué se diferencia del tinto y del blanco, y cuándo conviene servirlo. Con ejemplos del catálogo.</t>
  </si>
  <si>
    <t xml:space="preserve">21</t>
  </si>
  <si>
    <t xml:space="preserve">Pinot Grigio delle Venezie DOC Blush rosado 2025 (Levorato); Rosé Extra Dry Collevento 921</t>
  </si>
  <si>
    <t xml:space="preserve">/vinos#blancos-rosado; /blog/vino-para-san-valentin; /blog/vino-con-comida-picante</t>
  </si>
  <si>
    <t xml:space="preserve">16, 18, 20</t>
  </si>
  <si>
    <t xml:space="preserve">Ver el rosado del catálogo</t>
  </si>
  <si>
    <t xml:space="preserve">¿El vino rosado es una mezcla de tinto y blanco?</t>
  </si>
  <si>
    <t xml:space="preserve">¿El vino rosado es dulce?</t>
  </si>
  <si>
    <t xml:space="preserve">¿A qué temperatura se sirve un rosado?</t>
  </si>
  <si>
    <t xml:space="preserve">Cierra el primer ciclo del backlog. Explicar el método de forma sencilla y con dos botellas reales (un rosado y un rosé espumoso).</t>
  </si>
  <si>
    <t xml:space="preserve">Fecha</t>
  </si>
  <si>
    <t xml:space="preserve">Piezas</t>
  </si>
  <si>
    <t xml:space="preserve">Contenido</t>
  </si>
  <si>
    <t xml:space="preserve">01 Cómo leer la etiqueta de un vino sin perderte en el intento; 02 A qué temperatura servir cada vino; 03 Tu primera caja de vino: cómo armar un kit de 6 botellas que sí vas a disfrutar; 04 Guía de maridaje: cómo combinar vino y comida sin reglas rígidas; 05 Blanco, tinto, rosado o espumoso: cómo saber cuál te gusta; 06 Comprar vino en línea en México: qué revisar antes de pagar</t>
  </si>
  <si>
    <t xml:space="preserve">Artículo; Guía</t>
  </si>
  <si>
    <t xml:space="preserve">07 Prosecco: qué es, cómo se hace y cuándo servirlo</t>
  </si>
  <si>
    <t xml:space="preserve">08 Cuántas botellas de vino comprar para una cena o posada</t>
  </si>
  <si>
    <t xml:space="preserve">09 Qué vino regalar: cómo elegir bien sin ser experto</t>
  </si>
  <si>
    <t xml:space="preserve">10 Qué vino llevar a una cena cuando te invitan</t>
  </si>
  <si>
    <t xml:space="preserve">11 Cómo abrir una botella de espumoso sin accidentes</t>
  </si>
  <si>
    <t xml:space="preserve">12 Cómo probar un vino en casa: vista, olfato y sabor sin complicarte</t>
  </si>
  <si>
    <t xml:space="preserve">13 Cuánto dura un vino abierto y cómo conservarlo</t>
  </si>
  <si>
    <t xml:space="preserve">14 Valpolicella, Ripasso y Amarone: tres vinos de una misma región</t>
  </si>
  <si>
    <t xml:space="preserve">15 Primitivo: qué es y cómo comparar dos del catálogo</t>
  </si>
  <si>
    <t xml:space="preserve">16 Pinot Grigio, Sauvignon Blanc, Chardonnay, Soave y Falanghina: cuál blanco elegir</t>
  </si>
  <si>
    <t xml:space="preserve">17 Guía de bolsillo: los 19 vinos de Viviendo Vino de un vistazo</t>
  </si>
  <si>
    <t xml:space="preserve">18 Vino para San Valentín: rosado, espumoso o tinto</t>
  </si>
  <si>
    <t xml:space="preserve">19 Tinto de diario: cómo elegir un buen tinto sin gastar de más</t>
  </si>
  <si>
    <t xml:space="preserve">20 Vino y comida picante: cómo combinarlos sin que se pierda el sabor</t>
  </si>
  <si>
    <t xml:space="preserve">21 Vino rosado: qué es, cómo se hace y cuándo conviene</t>
  </si>
  <si>
    <t xml:space="preserve">Total jueves (desde el 19 nov)</t>
  </si>
  <si>
    <t xml:space="preserve">Total piezas</t>
  </si>
  <si>
    <t xml:space="preserve">Vino</t>
  </si>
  <si>
    <t xml:space="preserve">Artículos</t>
  </si>
  <si>
    <t xml:space="preserve">Apariciones</t>
  </si>
  <si>
    <t xml:space="preserve">Chardonnay IGT Vento 2024 (Levorato)</t>
  </si>
  <si>
    <t xml:space="preserve">01, 16 + 17</t>
  </si>
  <si>
    <t xml:space="preserve">Sauvignon Blanc IGT Trevenezie 2024 (Levorato)</t>
  </si>
  <si>
    <t xml:space="preserve">02, 16 + 17</t>
  </si>
  <si>
    <t xml:space="preserve">Pinot Grigio delle Venezie DOC 2024 (Levorato)</t>
  </si>
  <si>
    <t xml:space="preserve">01, 03, 05, 06, 08, 10, 12, 13, 16 + 17</t>
  </si>
  <si>
    <t xml:space="preserve">Traminer Aromatico IGT Trevenezie 2025 (Levorato)</t>
  </si>
  <si>
    <t xml:space="preserve">12, 16, 20 + 17</t>
  </si>
  <si>
    <t xml:space="preserve">Falanghina IGT Puglia (Levorato)</t>
  </si>
  <si>
    <t xml:space="preserve">04, 16, 20 + 17</t>
  </si>
  <si>
    <t xml:space="preserve">Soave DOC 2024 (Levorato)</t>
  </si>
  <si>
    <t xml:space="preserve">01, 03, 16 + 17</t>
  </si>
  <si>
    <t xml:space="preserve">Pinot Grigio delle Venezie DOC Blush rosado 2025 (Levorato)</t>
  </si>
  <si>
    <t xml:space="preserve">03, 04, 05, 18, 20, 21 + 17</t>
  </si>
  <si>
    <t xml:space="preserve">Cabernet Sauvignon IGT Veneto 2024 (Levorato)</t>
  </si>
  <si>
    <t xml:space="preserve">19 + 17</t>
  </si>
  <si>
    <t xml:space="preserve">Merlot IGT Veneto 2024 (Levorato)</t>
  </si>
  <si>
    <t xml:space="preserve">02, 03, 04, 05, 06, 08, 10, 13, 19 + 17</t>
  </si>
  <si>
    <t xml:space="preserve">Montepulciano d'Abruzzo DOC 2024 (Levorato)</t>
  </si>
  <si>
    <t xml:space="preserve">03, 04, 05, 08, 10, 19 + 17</t>
  </si>
  <si>
    <t xml:space="preserve">Langhe Nebbiolo (Bertino Fiorella)</t>
  </si>
  <si>
    <t xml:space="preserve">18 + 17</t>
  </si>
  <si>
    <t xml:space="preserve">Rosso Veneto IGT 2018 Don Carlo (Levorato)</t>
  </si>
  <si>
    <t xml:space="preserve">09 + 17</t>
  </si>
  <si>
    <t xml:space="preserve">Primitivo di Manduria DOC 2023 Villa Fulvia (Levorato)</t>
  </si>
  <si>
    <t xml:space="preserve">04, 09, 10, 12, 15 + 17</t>
  </si>
  <si>
    <t xml:space="preserve">Valpolicella Ripasso Classico Superiore DOC 2020 (Levorato)</t>
  </si>
  <si>
    <t xml:space="preserve">02, 09, 14 + 17</t>
  </si>
  <si>
    <t xml:space="preserve">Amarone della Valpolicella Classico DOCG 2017 (Levorato)</t>
  </si>
  <si>
    <t xml:space="preserve">01, 09, 14 + 17</t>
  </si>
  <si>
    <t xml:space="preserve">Sangiovese Puglia IGT 2024 Bodega Rocca (Double Gold)</t>
  </si>
  <si>
    <t xml:space="preserve">15, 19 + 17</t>
  </si>
  <si>
    <t xml:space="preserve">Primitivo Rocca 2025 (Double Gold)</t>
  </si>
  <si>
    <t xml:space="preserve">Prosecco DOC Spumante Brut Carlo V Imperial</t>
  </si>
  <si>
    <t xml:space="preserve">02, 03, 04, 05, 06, 07, 08, 09, 10, 11, 13, 18, 20 + 17</t>
  </si>
  <si>
    <t xml:space="preserve">Rosé Extra Dry Collevento 921</t>
  </si>
  <si>
    <t xml:space="preserve">02, 07, 11, 18, 21 + 17</t>
  </si>
  <si>
    <t xml:space="preserve">Elemento</t>
  </si>
  <si>
    <t xml:space="preserve">Cuándo</t>
  </si>
  <si>
    <t xml:space="preserve">Title tag ≤ 60 caracteres con marca</t>
  </si>
  <si>
    <t xml:space="preserve">Todos los artículos</t>
  </si>
  <si>
    <t xml:space="preserve">Meta descripción 110–155 caracteres</t>
  </si>
  <si>
    <t xml:space="preserve">Todos</t>
  </si>
  <si>
    <t xml:space="preserve">1 H1; H2 como pregunta con respuesta de 40–60 palabras</t>
  </si>
  <si>
    <t xml:space="preserve">Recuadro 'En pocas palabras' y FAQ</t>
  </si>
  <si>
    <t xml:space="preserve">JSON-LD Article + BreadcrumbList (+ FAQPage)</t>
  </si>
  <si>
    <t xml:space="preserve">Plantilla</t>
  </si>
  <si>
    <t xml:space="preserve">Canonical autorreferenciado, absoluto</t>
  </si>
  <si>
    <t xml:space="preserve">Open Graph / Twitter Card con imagen 1200×630 generada</t>
  </si>
  <si>
    <t xml:space="preserve">html lang=es-MX</t>
  </si>
  <si>
    <t xml:space="preserve">Sitio</t>
  </si>
  <si>
    <t xml:space="preserve">sitemap.xml con lastmod real y referenciado en robots.txt</t>
  </si>
  <si>
    <t xml:space="preserve">dev: noindex + Disallow; producción: sin noindex heredado</t>
  </si>
  <si>
    <t xml:space="preserve">Lanzamiento</t>
  </si>
  <si>
    <t xml:space="preserve">Search Console: dominio verificado, sitemap enviado, URLs 01 a 07 solicitadas</t>
  </si>
  <si>
    <t xml:space="preserve">19 nov</t>
  </si>
  <si>
    <t xml:space="preserve">GA4 con eventos de descarga, kit, quiz y Wine Scan</t>
  </si>
  <si>
    <t xml:space="preserve">Cron de publicación jueves 15:00 UTC probado</t>
  </si>
  <si>
    <t xml:space="preserve">Antes de lanzar</t>
  </si>
  <si>
    <t xml:space="preserve">Enlaces internos recíprocos al publicar cada pieza</t>
  </si>
  <si>
    <t xml:space="preserve">Cada jueves</t>
  </si>
  <si>
    <t xml:space="preserve">Validar leyenda de consumo responsable / 18+</t>
  </si>
  <si>
    <t xml:space="preserve">Revisar posiciones por consulta a las 6 y 12 semanas</t>
  </si>
  <si>
    <t xml:space="preserve">Seguimiento</t>
  </si>
</sst>
</file>

<file path=xl/styles.xml><?xml version="1.0" encoding="utf-8"?>
<styleSheet xmlns="http://schemas.openxmlformats.org/spreadsheetml/2006/main">
  <numFmts count="2">
    <numFmt numFmtId="164" formatCode="General"/>
    <numFmt numFmtId="165" formatCode="dd/mm/yyyy"/>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1A17"/>
        <bgColor rgb="FF333333"/>
      </patternFill>
    </fill>
  </fills>
  <borders count="2">
    <border diagonalUp="false" diagonalDown="false">
      <left/>
      <right/>
      <top/>
      <bottom/>
      <diagonal/>
    </border>
    <border diagonalUp="false" diagonalDown="false">
      <left style="thin">
        <color rgb="FFD9D2C9"/>
      </left>
      <right style="thin">
        <color rgb="FFD9D2C9"/>
      </right>
      <top style="thin">
        <color rgb="FFD9D2C9"/>
      </top>
      <bottom style="thin">
        <color rgb="FFD9D2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1A1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9"/>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A17"/>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7"/>
    <col collapsed="false" customWidth="true" hidden="false" outlineLevel="0" max="7" min="7" style="0" width="22"/>
    <col collapsed="false" customWidth="true" hidden="false" outlineLevel="0" max="8" min="8" style="0" width="44"/>
    <col collapsed="false" customWidth="true" hidden="false" outlineLevel="0" max="9" min="9" style="0" width="34"/>
    <col collapsed="false" customWidth="true" hidden="false" outlineLevel="0" max="10" min="10" style="0" width="44"/>
    <col collapsed="false" customWidth="true" hidden="false" outlineLevel="0" max="11" min="11" style="0" width="28"/>
    <col collapsed="false" customWidth="true" hidden="false" outlineLevel="0" max="12" min="12" style="0" width="44"/>
    <col collapsed="false" customWidth="true" hidden="false" outlineLevel="0" max="13" min="13" style="0" width="20"/>
    <col collapsed="false" customWidth="true" hidden="false" outlineLevel="0" max="14" min="14" style="0" width="40"/>
    <col collapsed="false" customWidth="true" hidden="false" outlineLevel="0" max="15" min="15" style="0" width="8"/>
    <col collapsed="false" customWidth="true" hidden="false" outlineLevel="0" max="16" min="16" style="0" width="56"/>
    <col collapsed="false" customWidth="true" hidden="false" outlineLevel="0" max="17" min="17" style="0" width="8"/>
    <col collapsed="false" customWidth="true" hidden="false" outlineLevel="0" max="18" min="18" style="0" width="26"/>
    <col collapsed="false" customWidth="true" hidden="false" outlineLevel="0" max="19" min="19" style="0" width="14"/>
    <col collapsed="false" customWidth="true" hidden="false" outlineLevel="0" max="20" min="20" style="0" width="9"/>
    <col collapsed="false" customWidth="true" hidden="false" outlineLevel="0" max="21" min="21" style="0" width="7"/>
    <col collapsed="false" customWidth="true" hidden="false" outlineLevel="0" max="23" min="22" style="0" width="48"/>
    <col collapsed="false" customWidth="true" hidden="false" outlineLevel="0" max="24" min="24" style="0" width="12"/>
    <col collapsed="false" customWidth="true" hidden="false" outlineLevel="0" max="25" min="25" style="0" width="26"/>
    <col collapsed="false" customWidth="true" hidden="false" outlineLevel="0" max="28" min="26" style="0" width="36"/>
    <col collapsed="false" customWidth="true" hidden="false" outlineLevel="0" max="29" min="29" style="0" width="56"/>
    <col collapsed="false" customWidth="true" hidden="false" outlineLevel="0" max="30" min="30" style="0" width="14"/>
    <col collapsed="false" customWidth="true" hidden="false" outlineLevel="0" max="31" min="31" style="0" width="22"/>
    <col collapsed="false" customWidth="true" hidden="false" outlineLevel="0" max="32" min="32" style="0" width="3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46.25" hidden="false" customHeight="false" outlineLevel="0" collapsed="false">
      <c r="A2" s="2" t="n">
        <v>1</v>
      </c>
      <c r="B2" s="3" t="n">
        <v>46319</v>
      </c>
      <c r="C2" s="2" t="s">
        <v>32</v>
      </c>
      <c r="D2" s="2" t="s">
        <v>33</v>
      </c>
      <c r="E2" s="2"/>
      <c r="F2" s="2" t="s">
        <v>34</v>
      </c>
      <c r="G2" s="2" t="s">
        <v>35</v>
      </c>
      <c r="H2" s="2" t="s">
        <v>36</v>
      </c>
      <c r="I2" s="2" t="s">
        <v>37</v>
      </c>
      <c r="J2" s="2" t="s">
        <v>38</v>
      </c>
      <c r="K2" s="2" t="s">
        <v>39</v>
      </c>
      <c r="L2" s="2" t="s">
        <v>40</v>
      </c>
      <c r="M2" s="2" t="s">
        <v>41</v>
      </c>
      <c r="N2" s="2" t="s">
        <v>42</v>
      </c>
      <c r="O2" s="2" t="n">
        <f aca="false">LEN(N2)</f>
        <v>48</v>
      </c>
      <c r="P2" s="2" t="s">
        <v>43</v>
      </c>
      <c r="Q2" s="2" t="n">
        <f aca="false">LEN(P2)</f>
        <v>125</v>
      </c>
      <c r="R2" s="2" t="s">
        <v>44</v>
      </c>
      <c r="S2" s="2" t="s">
        <v>45</v>
      </c>
      <c r="T2" s="2" t="s">
        <v>46</v>
      </c>
      <c r="U2" s="2" t="s">
        <v>47</v>
      </c>
      <c r="V2" s="2" t="s">
        <v>48</v>
      </c>
      <c r="W2" s="2" t="s">
        <v>49</v>
      </c>
      <c r="X2" s="2" t="s">
        <v>50</v>
      </c>
      <c r="Y2" s="2" t="s">
        <v>51</v>
      </c>
      <c r="Z2" s="2" t="s">
        <v>52</v>
      </c>
      <c r="AA2" s="2" t="s">
        <v>53</v>
      </c>
      <c r="AB2" s="2" t="s">
        <v>54</v>
      </c>
      <c r="AC2" s="2" t="s">
        <v>55</v>
      </c>
      <c r="AD2" s="2" t="s">
        <v>56</v>
      </c>
      <c r="AE2" s="2" t="s">
        <v>57</v>
      </c>
      <c r="AF2" s="2" t="s">
        <v>58</v>
      </c>
    </row>
    <row r="3" customFormat="false" ht="57.45" hidden="false" customHeight="false" outlineLevel="0" collapsed="false">
      <c r="A3" s="2" t="n">
        <v>2</v>
      </c>
      <c r="B3" s="3" t="n">
        <v>46319</v>
      </c>
      <c r="C3" s="2" t="s">
        <v>32</v>
      </c>
      <c r="D3" s="2" t="s">
        <v>59</v>
      </c>
      <c r="E3" s="2" t="s">
        <v>60</v>
      </c>
      <c r="F3" s="2" t="s">
        <v>61</v>
      </c>
      <c r="G3" s="2" t="s">
        <v>35</v>
      </c>
      <c r="H3" s="2" t="s">
        <v>62</v>
      </c>
      <c r="I3" s="2" t="s">
        <v>63</v>
      </c>
      <c r="J3" s="2" t="s">
        <v>64</v>
      </c>
      <c r="K3" s="2" t="s">
        <v>65</v>
      </c>
      <c r="L3" s="2" t="s">
        <v>66</v>
      </c>
      <c r="M3" s="2" t="s">
        <v>67</v>
      </c>
      <c r="N3" s="2" t="s">
        <v>68</v>
      </c>
      <c r="O3" s="2" t="n">
        <f aca="false">LEN(N3)</f>
        <v>50</v>
      </c>
      <c r="P3" s="2" t="s">
        <v>69</v>
      </c>
      <c r="Q3" s="2" t="n">
        <f aca="false">LEN(P3)</f>
        <v>138</v>
      </c>
      <c r="R3" s="2" t="s">
        <v>44</v>
      </c>
      <c r="S3" s="2" t="s">
        <v>70</v>
      </c>
      <c r="T3" s="2" t="s">
        <v>71</v>
      </c>
      <c r="U3" s="2" t="s">
        <v>72</v>
      </c>
      <c r="V3" s="2" t="s">
        <v>73</v>
      </c>
      <c r="W3" s="2" t="s">
        <v>74</v>
      </c>
      <c r="X3" s="2" t="s">
        <v>75</v>
      </c>
      <c r="Y3" s="2" t="s">
        <v>76</v>
      </c>
      <c r="Z3" s="2" t="s">
        <v>77</v>
      </c>
      <c r="AA3" s="2" t="s">
        <v>78</v>
      </c>
      <c r="AB3" s="2" t="s">
        <v>79</v>
      </c>
      <c r="AC3" s="2" t="s">
        <v>80</v>
      </c>
      <c r="AD3" s="2" t="s">
        <v>56</v>
      </c>
      <c r="AE3" s="2" t="s">
        <v>57</v>
      </c>
      <c r="AF3" s="2" t="s">
        <v>58</v>
      </c>
    </row>
    <row r="4" customFormat="false" ht="57.45" hidden="false" customHeight="false" outlineLevel="0" collapsed="false">
      <c r="A4" s="2" t="n">
        <v>3</v>
      </c>
      <c r="B4" s="3" t="n">
        <v>46319</v>
      </c>
      <c r="C4" s="2" t="s">
        <v>32</v>
      </c>
      <c r="D4" s="2" t="s">
        <v>33</v>
      </c>
      <c r="E4" s="2"/>
      <c r="F4" s="2" t="s">
        <v>81</v>
      </c>
      <c r="G4" s="2" t="s">
        <v>82</v>
      </c>
      <c r="H4" s="2" t="s">
        <v>83</v>
      </c>
      <c r="I4" s="2" t="s">
        <v>84</v>
      </c>
      <c r="J4" s="2" t="s">
        <v>85</v>
      </c>
      <c r="K4" s="2" t="s">
        <v>86</v>
      </c>
      <c r="L4" s="2" t="s">
        <v>87</v>
      </c>
      <c r="M4" s="2" t="s">
        <v>88</v>
      </c>
      <c r="N4" s="2" t="s">
        <v>89</v>
      </c>
      <c r="O4" s="2" t="n">
        <f aca="false">LEN(N4)</f>
        <v>56</v>
      </c>
      <c r="P4" s="2" t="s">
        <v>90</v>
      </c>
      <c r="Q4" s="2" t="n">
        <f aca="false">LEN(P4)</f>
        <v>128</v>
      </c>
      <c r="R4" s="2" t="s">
        <v>44</v>
      </c>
      <c r="S4" s="2" t="s">
        <v>45</v>
      </c>
      <c r="T4" s="2" t="s">
        <v>91</v>
      </c>
      <c r="U4" s="2" t="s">
        <v>92</v>
      </c>
      <c r="V4" s="2" t="s">
        <v>93</v>
      </c>
      <c r="W4" s="2" t="s">
        <v>94</v>
      </c>
      <c r="X4" s="2" t="s">
        <v>95</v>
      </c>
      <c r="Y4" s="2" t="s">
        <v>96</v>
      </c>
      <c r="Z4" s="2" t="s">
        <v>97</v>
      </c>
      <c r="AA4" s="2" t="s">
        <v>98</v>
      </c>
      <c r="AB4" s="2" t="s">
        <v>99</v>
      </c>
      <c r="AC4" s="2" t="s">
        <v>100</v>
      </c>
      <c r="AD4" s="2" t="s">
        <v>56</v>
      </c>
      <c r="AE4" s="2" t="s">
        <v>57</v>
      </c>
      <c r="AF4" s="2" t="s">
        <v>58</v>
      </c>
    </row>
    <row r="5" customFormat="false" ht="68.65" hidden="false" customHeight="false" outlineLevel="0" collapsed="false">
      <c r="A5" s="2" t="n">
        <v>4</v>
      </c>
      <c r="B5" s="3" t="n">
        <v>46319</v>
      </c>
      <c r="C5" s="2" t="s">
        <v>32</v>
      </c>
      <c r="D5" s="2" t="s">
        <v>59</v>
      </c>
      <c r="E5" s="2" t="s">
        <v>101</v>
      </c>
      <c r="F5" s="2" t="s">
        <v>61</v>
      </c>
      <c r="G5" s="2" t="s">
        <v>35</v>
      </c>
      <c r="H5" s="2" t="s">
        <v>102</v>
      </c>
      <c r="I5" s="2" t="s">
        <v>103</v>
      </c>
      <c r="J5" s="2" t="s">
        <v>104</v>
      </c>
      <c r="K5" s="2" t="s">
        <v>105</v>
      </c>
      <c r="L5" s="2" t="s">
        <v>106</v>
      </c>
      <c r="M5" s="2" t="s">
        <v>107</v>
      </c>
      <c r="N5" s="2" t="s">
        <v>108</v>
      </c>
      <c r="O5" s="2" t="n">
        <f aca="false">LEN(N5)</f>
        <v>58</v>
      </c>
      <c r="P5" s="2" t="s">
        <v>109</v>
      </c>
      <c r="Q5" s="2" t="n">
        <f aca="false">LEN(P5)</f>
        <v>139</v>
      </c>
      <c r="R5" s="2" t="s">
        <v>44</v>
      </c>
      <c r="S5" s="2" t="s">
        <v>110</v>
      </c>
      <c r="T5" s="2" t="s">
        <v>71</v>
      </c>
      <c r="U5" s="2" t="s">
        <v>111</v>
      </c>
      <c r="V5" s="2" t="s">
        <v>112</v>
      </c>
      <c r="W5" s="2" t="s">
        <v>113</v>
      </c>
      <c r="X5" s="2" t="s">
        <v>114</v>
      </c>
      <c r="Y5" s="2" t="s">
        <v>76</v>
      </c>
      <c r="Z5" s="2" t="s">
        <v>115</v>
      </c>
      <c r="AA5" s="2" t="s">
        <v>116</v>
      </c>
      <c r="AB5" s="2" t="s">
        <v>117</v>
      </c>
      <c r="AC5" s="2" t="s">
        <v>118</v>
      </c>
      <c r="AD5" s="2" t="s">
        <v>119</v>
      </c>
      <c r="AE5" s="2" t="s">
        <v>120</v>
      </c>
      <c r="AF5" s="2" t="s">
        <v>58</v>
      </c>
    </row>
    <row r="6" customFormat="false" ht="57.45" hidden="false" customHeight="false" outlineLevel="0" collapsed="false">
      <c r="A6" s="2" t="n">
        <v>5</v>
      </c>
      <c r="B6" s="3" t="n">
        <v>46319</v>
      </c>
      <c r="C6" s="2" t="s">
        <v>32</v>
      </c>
      <c r="D6" s="2" t="s">
        <v>33</v>
      </c>
      <c r="E6" s="2"/>
      <c r="F6" s="2" t="s">
        <v>34</v>
      </c>
      <c r="G6" s="2" t="s">
        <v>35</v>
      </c>
      <c r="H6" s="2" t="s">
        <v>121</v>
      </c>
      <c r="I6" s="2" t="s">
        <v>122</v>
      </c>
      <c r="J6" s="2" t="s">
        <v>123</v>
      </c>
      <c r="K6" s="2" t="s">
        <v>124</v>
      </c>
      <c r="L6" s="2" t="s">
        <v>125</v>
      </c>
      <c r="M6" s="2" t="s">
        <v>126</v>
      </c>
      <c r="N6" s="2" t="s">
        <v>127</v>
      </c>
      <c r="O6" s="2" t="n">
        <f aca="false">LEN(N6)</f>
        <v>52</v>
      </c>
      <c r="P6" s="2" t="s">
        <v>128</v>
      </c>
      <c r="Q6" s="2" t="n">
        <f aca="false">LEN(P6)</f>
        <v>143</v>
      </c>
      <c r="R6" s="2" t="s">
        <v>44</v>
      </c>
      <c r="S6" s="2" t="s">
        <v>45</v>
      </c>
      <c r="T6" s="2" t="s">
        <v>129</v>
      </c>
      <c r="U6" s="2" t="s">
        <v>130</v>
      </c>
      <c r="V6" s="2" t="s">
        <v>131</v>
      </c>
      <c r="W6" s="2" t="s">
        <v>132</v>
      </c>
      <c r="X6" s="2" t="s">
        <v>133</v>
      </c>
      <c r="Y6" s="2" t="s">
        <v>134</v>
      </c>
      <c r="Z6" s="2" t="s">
        <v>135</v>
      </c>
      <c r="AA6" s="2" t="s">
        <v>136</v>
      </c>
      <c r="AB6" s="2" t="s">
        <v>137</v>
      </c>
      <c r="AC6" s="2" t="s">
        <v>138</v>
      </c>
      <c r="AD6" s="2" t="s">
        <v>119</v>
      </c>
      <c r="AE6" s="2" t="s">
        <v>120</v>
      </c>
      <c r="AF6" s="2" t="s">
        <v>58</v>
      </c>
    </row>
    <row r="7" customFormat="false" ht="46.25" hidden="false" customHeight="false" outlineLevel="0" collapsed="false">
      <c r="A7" s="2" t="n">
        <v>6</v>
      </c>
      <c r="B7" s="3" t="n">
        <v>46319</v>
      </c>
      <c r="C7" s="2" t="s">
        <v>32</v>
      </c>
      <c r="D7" s="2" t="s">
        <v>33</v>
      </c>
      <c r="E7" s="2"/>
      <c r="F7" s="2" t="s">
        <v>81</v>
      </c>
      <c r="G7" s="2" t="s">
        <v>82</v>
      </c>
      <c r="H7" s="2" t="s">
        <v>139</v>
      </c>
      <c r="I7" s="2" t="s">
        <v>140</v>
      </c>
      <c r="J7" s="2" t="s">
        <v>141</v>
      </c>
      <c r="K7" s="2" t="s">
        <v>142</v>
      </c>
      <c r="L7" s="2" t="s">
        <v>143</v>
      </c>
      <c r="M7" s="2" t="s">
        <v>144</v>
      </c>
      <c r="N7" s="2" t="s">
        <v>145</v>
      </c>
      <c r="O7" s="2" t="n">
        <f aca="false">LEN(N7)</f>
        <v>47</v>
      </c>
      <c r="P7" s="2" t="s">
        <v>146</v>
      </c>
      <c r="Q7" s="2" t="n">
        <f aca="false">LEN(P7)</f>
        <v>126</v>
      </c>
      <c r="R7" s="2" t="s">
        <v>44</v>
      </c>
      <c r="S7" s="2" t="s">
        <v>147</v>
      </c>
      <c r="T7" s="2" t="s">
        <v>46</v>
      </c>
      <c r="U7" s="2" t="s">
        <v>148</v>
      </c>
      <c r="V7" s="2" t="s">
        <v>149</v>
      </c>
      <c r="W7" s="2" t="s">
        <v>150</v>
      </c>
      <c r="X7" s="2" t="s">
        <v>151</v>
      </c>
      <c r="Y7" s="2" t="s">
        <v>96</v>
      </c>
      <c r="Z7" s="2" t="s">
        <v>152</v>
      </c>
      <c r="AA7" s="2" t="s">
        <v>153</v>
      </c>
      <c r="AB7" s="2" t="s">
        <v>154</v>
      </c>
      <c r="AC7" s="2" t="s">
        <v>155</v>
      </c>
      <c r="AD7" s="2" t="s">
        <v>119</v>
      </c>
      <c r="AE7" s="2" t="s">
        <v>120</v>
      </c>
      <c r="AF7" s="2" t="s">
        <v>58</v>
      </c>
    </row>
    <row r="8" customFormat="false" ht="35.05" hidden="false" customHeight="false" outlineLevel="0" collapsed="false">
      <c r="A8" s="2" t="n">
        <v>7</v>
      </c>
      <c r="B8" s="3" t="n">
        <v>46345</v>
      </c>
      <c r="C8" s="2" t="s">
        <v>156</v>
      </c>
      <c r="D8" s="2" t="s">
        <v>33</v>
      </c>
      <c r="E8" s="2"/>
      <c r="F8" s="2" t="s">
        <v>81</v>
      </c>
      <c r="G8" s="2" t="s">
        <v>157</v>
      </c>
      <c r="H8" s="2" t="s">
        <v>158</v>
      </c>
      <c r="I8" s="2" t="s">
        <v>159</v>
      </c>
      <c r="J8" s="2" t="s">
        <v>160</v>
      </c>
      <c r="K8" s="2" t="s">
        <v>161</v>
      </c>
      <c r="L8" s="2" t="s">
        <v>162</v>
      </c>
      <c r="M8" s="2" t="s">
        <v>163</v>
      </c>
      <c r="N8" s="2" t="s">
        <v>164</v>
      </c>
      <c r="O8" s="2" t="n">
        <f aca="false">LEN(N8)</f>
        <v>52</v>
      </c>
      <c r="P8" s="2" t="s">
        <v>165</v>
      </c>
      <c r="Q8" s="2" t="n">
        <f aca="false">LEN(P8)</f>
        <v>128</v>
      </c>
      <c r="R8" s="2" t="s">
        <v>44</v>
      </c>
      <c r="S8" s="2" t="s">
        <v>45</v>
      </c>
      <c r="T8" s="2" t="s">
        <v>91</v>
      </c>
      <c r="U8" s="2" t="s">
        <v>166</v>
      </c>
      <c r="V8" s="2" t="s">
        <v>167</v>
      </c>
      <c r="W8" s="2" t="s">
        <v>168</v>
      </c>
      <c r="X8" s="2" t="s">
        <v>169</v>
      </c>
      <c r="Y8" s="2" t="s">
        <v>170</v>
      </c>
      <c r="Z8" s="2" t="s">
        <v>171</v>
      </c>
      <c r="AA8" s="2" t="s">
        <v>172</v>
      </c>
      <c r="AB8" s="2" t="s">
        <v>173</v>
      </c>
      <c r="AC8" s="2" t="s">
        <v>174</v>
      </c>
      <c r="AD8" s="2" t="s">
        <v>119</v>
      </c>
      <c r="AE8" s="2" t="s">
        <v>175</v>
      </c>
      <c r="AF8" s="2" t="s">
        <v>176</v>
      </c>
    </row>
    <row r="9" customFormat="false" ht="46.25" hidden="false" customHeight="false" outlineLevel="0" collapsed="false">
      <c r="A9" s="2" t="n">
        <v>8</v>
      </c>
      <c r="B9" s="3" t="n">
        <v>46352</v>
      </c>
      <c r="C9" s="2" t="s">
        <v>156</v>
      </c>
      <c r="D9" s="2" t="s">
        <v>59</v>
      </c>
      <c r="E9" s="2" t="s">
        <v>177</v>
      </c>
      <c r="F9" s="2" t="s">
        <v>34</v>
      </c>
      <c r="G9" s="2" t="s">
        <v>82</v>
      </c>
      <c r="H9" s="2" t="s">
        <v>178</v>
      </c>
      <c r="I9" s="2" t="s">
        <v>179</v>
      </c>
      <c r="J9" s="2" t="s">
        <v>180</v>
      </c>
      <c r="K9" s="2" t="s">
        <v>181</v>
      </c>
      <c r="L9" s="2" t="s">
        <v>182</v>
      </c>
      <c r="M9" s="2" t="s">
        <v>183</v>
      </c>
      <c r="N9" s="2" t="s">
        <v>184</v>
      </c>
      <c r="O9" s="2" t="n">
        <f aca="false">LEN(N9)</f>
        <v>52</v>
      </c>
      <c r="P9" s="2" t="s">
        <v>185</v>
      </c>
      <c r="Q9" s="2" t="n">
        <f aca="false">LEN(P9)</f>
        <v>136</v>
      </c>
      <c r="R9" s="2" t="s">
        <v>44</v>
      </c>
      <c r="S9" s="2" t="s">
        <v>110</v>
      </c>
      <c r="T9" s="2" t="s">
        <v>71</v>
      </c>
      <c r="U9" s="2" t="s">
        <v>186</v>
      </c>
      <c r="V9" s="2" t="s">
        <v>187</v>
      </c>
      <c r="W9" s="2" t="s">
        <v>188</v>
      </c>
      <c r="X9" s="2" t="s">
        <v>189</v>
      </c>
      <c r="Y9" s="2" t="s">
        <v>76</v>
      </c>
      <c r="Z9" s="2" t="s">
        <v>190</v>
      </c>
      <c r="AA9" s="2" t="s">
        <v>191</v>
      </c>
      <c r="AB9" s="2" t="s">
        <v>192</v>
      </c>
      <c r="AC9" s="2" t="s">
        <v>193</v>
      </c>
      <c r="AD9" s="2" t="s">
        <v>119</v>
      </c>
      <c r="AE9" s="2" t="s">
        <v>175</v>
      </c>
      <c r="AF9" s="2"/>
    </row>
    <row r="10" customFormat="false" ht="57.45" hidden="false" customHeight="false" outlineLevel="0" collapsed="false">
      <c r="A10" s="2" t="n">
        <v>9</v>
      </c>
      <c r="B10" s="3" t="n">
        <v>46359</v>
      </c>
      <c r="C10" s="2" t="s">
        <v>156</v>
      </c>
      <c r="D10" s="2" t="s">
        <v>33</v>
      </c>
      <c r="E10" s="2"/>
      <c r="F10" s="2" t="s">
        <v>81</v>
      </c>
      <c r="G10" s="2" t="s">
        <v>82</v>
      </c>
      <c r="H10" s="2" t="s">
        <v>194</v>
      </c>
      <c r="I10" s="2" t="s">
        <v>195</v>
      </c>
      <c r="J10" s="2" t="s">
        <v>196</v>
      </c>
      <c r="K10" s="2" t="s">
        <v>197</v>
      </c>
      <c r="L10" s="2" t="s">
        <v>198</v>
      </c>
      <c r="M10" s="2" t="s">
        <v>199</v>
      </c>
      <c r="N10" s="2" t="s">
        <v>200</v>
      </c>
      <c r="O10" s="2" t="n">
        <f aca="false">LEN(N10)</f>
        <v>48</v>
      </c>
      <c r="P10" s="2" t="s">
        <v>201</v>
      </c>
      <c r="Q10" s="2" t="n">
        <f aca="false">LEN(P10)</f>
        <v>135</v>
      </c>
      <c r="R10" s="2" t="s">
        <v>44</v>
      </c>
      <c r="S10" s="2" t="s">
        <v>45</v>
      </c>
      <c r="T10" s="2" t="s">
        <v>129</v>
      </c>
      <c r="U10" s="2" t="s">
        <v>202</v>
      </c>
      <c r="V10" s="2" t="s">
        <v>203</v>
      </c>
      <c r="W10" s="2" t="s">
        <v>204</v>
      </c>
      <c r="X10" s="2" t="s">
        <v>205</v>
      </c>
      <c r="Y10" s="2" t="s">
        <v>206</v>
      </c>
      <c r="Z10" s="2" t="s">
        <v>207</v>
      </c>
      <c r="AA10" s="2" t="s">
        <v>208</v>
      </c>
      <c r="AB10" s="2" t="s">
        <v>209</v>
      </c>
      <c r="AC10" s="2" t="s">
        <v>210</v>
      </c>
      <c r="AD10" s="2" t="s">
        <v>119</v>
      </c>
      <c r="AE10" s="2" t="s">
        <v>175</v>
      </c>
      <c r="AF10" s="2"/>
    </row>
    <row r="11" customFormat="false" ht="57.45" hidden="false" customHeight="false" outlineLevel="0" collapsed="false">
      <c r="A11" s="2" t="n">
        <v>10</v>
      </c>
      <c r="B11" s="3" t="n">
        <v>46366</v>
      </c>
      <c r="C11" s="2" t="s">
        <v>156</v>
      </c>
      <c r="D11" s="2" t="s">
        <v>33</v>
      </c>
      <c r="E11" s="2"/>
      <c r="F11" s="2" t="s">
        <v>81</v>
      </c>
      <c r="G11" s="2" t="s">
        <v>82</v>
      </c>
      <c r="H11" s="2" t="s">
        <v>211</v>
      </c>
      <c r="I11" s="2" t="s">
        <v>212</v>
      </c>
      <c r="J11" s="2" t="s">
        <v>213</v>
      </c>
      <c r="K11" s="2" t="s">
        <v>214</v>
      </c>
      <c r="L11" s="2" t="s">
        <v>215</v>
      </c>
      <c r="M11" s="2" t="s">
        <v>216</v>
      </c>
      <c r="N11" s="2" t="s">
        <v>217</v>
      </c>
      <c r="O11" s="2" t="n">
        <f aca="false">LEN(N11)</f>
        <v>42</v>
      </c>
      <c r="P11" s="2" t="s">
        <v>218</v>
      </c>
      <c r="Q11" s="2" t="n">
        <f aca="false">LEN(P11)</f>
        <v>120</v>
      </c>
      <c r="R11" s="2" t="s">
        <v>44</v>
      </c>
      <c r="S11" s="2" t="s">
        <v>219</v>
      </c>
      <c r="T11" s="2" t="s">
        <v>46</v>
      </c>
      <c r="U11" s="2" t="s">
        <v>220</v>
      </c>
      <c r="V11" s="2" t="s">
        <v>221</v>
      </c>
      <c r="W11" s="2" t="s">
        <v>222</v>
      </c>
      <c r="X11" s="2" t="s">
        <v>223</v>
      </c>
      <c r="Y11" s="2" t="s">
        <v>224</v>
      </c>
      <c r="Z11" s="2" t="s">
        <v>225</v>
      </c>
      <c r="AA11" s="2" t="s">
        <v>226</v>
      </c>
      <c r="AB11" s="2" t="s">
        <v>227</v>
      </c>
      <c r="AC11" s="2" t="s">
        <v>228</v>
      </c>
      <c r="AD11" s="2" t="s">
        <v>119</v>
      </c>
      <c r="AE11" s="2" t="s">
        <v>175</v>
      </c>
      <c r="AF11" s="2"/>
    </row>
    <row r="12" customFormat="false" ht="23.85" hidden="false" customHeight="false" outlineLevel="0" collapsed="false">
      <c r="A12" s="2" t="n">
        <v>11</v>
      </c>
      <c r="B12" s="3" t="n">
        <v>46373</v>
      </c>
      <c r="C12" s="2" t="s">
        <v>156</v>
      </c>
      <c r="D12" s="2" t="s">
        <v>33</v>
      </c>
      <c r="E12" s="2"/>
      <c r="F12" s="2" t="s">
        <v>34</v>
      </c>
      <c r="G12" s="2" t="s">
        <v>35</v>
      </c>
      <c r="H12" s="2" t="s">
        <v>229</v>
      </c>
      <c r="I12" s="2" t="s">
        <v>230</v>
      </c>
      <c r="J12" s="2" t="s">
        <v>231</v>
      </c>
      <c r="K12" s="2" t="s">
        <v>232</v>
      </c>
      <c r="L12" s="2" t="s">
        <v>233</v>
      </c>
      <c r="M12" s="2" t="s">
        <v>234</v>
      </c>
      <c r="N12" s="2" t="s">
        <v>235</v>
      </c>
      <c r="O12" s="2" t="n">
        <f aca="false">LEN(N12)</f>
        <v>50</v>
      </c>
      <c r="P12" s="2" t="s">
        <v>236</v>
      </c>
      <c r="Q12" s="2" t="n">
        <f aca="false">LEN(P12)</f>
        <v>133</v>
      </c>
      <c r="R12" s="2" t="s">
        <v>44</v>
      </c>
      <c r="S12" s="2" t="s">
        <v>237</v>
      </c>
      <c r="T12" s="2" t="s">
        <v>91</v>
      </c>
      <c r="U12" s="2" t="s">
        <v>238</v>
      </c>
      <c r="V12" s="2" t="s">
        <v>167</v>
      </c>
      <c r="W12" s="2" t="s">
        <v>239</v>
      </c>
      <c r="X12" s="2" t="s">
        <v>240</v>
      </c>
      <c r="Y12" s="2" t="s">
        <v>170</v>
      </c>
      <c r="Z12" s="2" t="s">
        <v>241</v>
      </c>
      <c r="AA12" s="2" t="s">
        <v>242</v>
      </c>
      <c r="AB12" s="2" t="s">
        <v>243</v>
      </c>
      <c r="AC12" s="2" t="s">
        <v>244</v>
      </c>
      <c r="AD12" s="2" t="s">
        <v>119</v>
      </c>
      <c r="AE12" s="2" t="s">
        <v>175</v>
      </c>
      <c r="AF12" s="2"/>
    </row>
    <row r="13" customFormat="false" ht="46.25" hidden="false" customHeight="false" outlineLevel="0" collapsed="false">
      <c r="A13" s="2" t="n">
        <v>12</v>
      </c>
      <c r="B13" s="3" t="n">
        <v>46380</v>
      </c>
      <c r="C13" s="2" t="s">
        <v>156</v>
      </c>
      <c r="D13" s="2" t="s">
        <v>33</v>
      </c>
      <c r="E13" s="2"/>
      <c r="F13" s="2" t="s">
        <v>34</v>
      </c>
      <c r="G13" s="2" t="s">
        <v>35</v>
      </c>
      <c r="H13" s="2" t="s">
        <v>245</v>
      </c>
      <c r="I13" s="2" t="s">
        <v>246</v>
      </c>
      <c r="J13" s="2" t="s">
        <v>247</v>
      </c>
      <c r="K13" s="2" t="s">
        <v>248</v>
      </c>
      <c r="L13" s="2" t="s">
        <v>249</v>
      </c>
      <c r="M13" s="2" t="s">
        <v>163</v>
      </c>
      <c r="N13" s="2" t="s">
        <v>250</v>
      </c>
      <c r="O13" s="2" t="n">
        <f aca="false">LEN(N13)</f>
        <v>42</v>
      </c>
      <c r="P13" s="2" t="s">
        <v>251</v>
      </c>
      <c r="Q13" s="2" t="n">
        <f aca="false">LEN(P13)</f>
        <v>139</v>
      </c>
      <c r="R13" s="2" t="s">
        <v>44</v>
      </c>
      <c r="S13" s="2" t="s">
        <v>45</v>
      </c>
      <c r="T13" s="2" t="s">
        <v>129</v>
      </c>
      <c r="U13" s="2" t="s">
        <v>252</v>
      </c>
      <c r="V13" s="2" t="s">
        <v>253</v>
      </c>
      <c r="W13" s="2" t="s">
        <v>254</v>
      </c>
      <c r="X13" s="2" t="s">
        <v>255</v>
      </c>
      <c r="Y13" s="2" t="s">
        <v>96</v>
      </c>
      <c r="Z13" s="2" t="s">
        <v>256</v>
      </c>
      <c r="AA13" s="2" t="s">
        <v>257</v>
      </c>
      <c r="AB13" s="2" t="s">
        <v>258</v>
      </c>
      <c r="AC13" s="2" t="s">
        <v>259</v>
      </c>
      <c r="AD13" s="2" t="s">
        <v>119</v>
      </c>
      <c r="AE13" s="2" t="s">
        <v>175</v>
      </c>
      <c r="AF13" s="2" t="s">
        <v>260</v>
      </c>
    </row>
    <row r="14" customFormat="false" ht="46.25" hidden="false" customHeight="false" outlineLevel="0" collapsed="false">
      <c r="A14" s="2" t="n">
        <v>13</v>
      </c>
      <c r="B14" s="3" t="n">
        <v>46387</v>
      </c>
      <c r="C14" s="2" t="s">
        <v>156</v>
      </c>
      <c r="D14" s="2" t="s">
        <v>33</v>
      </c>
      <c r="E14" s="2"/>
      <c r="F14" s="2" t="s">
        <v>34</v>
      </c>
      <c r="G14" s="2" t="s">
        <v>35</v>
      </c>
      <c r="H14" s="2" t="s">
        <v>261</v>
      </c>
      <c r="I14" s="2" t="s">
        <v>262</v>
      </c>
      <c r="J14" s="2" t="s">
        <v>263</v>
      </c>
      <c r="K14" s="2" t="s">
        <v>264</v>
      </c>
      <c r="L14" s="2" t="s">
        <v>265</v>
      </c>
      <c r="M14" s="2" t="s">
        <v>163</v>
      </c>
      <c r="N14" s="2" t="s">
        <v>266</v>
      </c>
      <c r="O14" s="2" t="n">
        <f aca="false">LEN(N14)</f>
        <v>43</v>
      </c>
      <c r="P14" s="2" t="s">
        <v>267</v>
      </c>
      <c r="Q14" s="2" t="n">
        <f aca="false">LEN(P14)</f>
        <v>131</v>
      </c>
      <c r="R14" s="2" t="s">
        <v>44</v>
      </c>
      <c r="S14" s="2" t="s">
        <v>268</v>
      </c>
      <c r="T14" s="2" t="s">
        <v>46</v>
      </c>
      <c r="U14" s="2" t="s">
        <v>269</v>
      </c>
      <c r="V14" s="2" t="s">
        <v>270</v>
      </c>
      <c r="W14" s="2" t="s">
        <v>271</v>
      </c>
      <c r="X14" s="2" t="s">
        <v>272</v>
      </c>
      <c r="Y14" s="2" t="s">
        <v>96</v>
      </c>
      <c r="Z14" s="2" t="s">
        <v>273</v>
      </c>
      <c r="AA14" s="2" t="s">
        <v>274</v>
      </c>
      <c r="AB14" s="2" t="s">
        <v>275</v>
      </c>
      <c r="AC14" s="2" t="s">
        <v>276</v>
      </c>
      <c r="AD14" s="2" t="s">
        <v>119</v>
      </c>
      <c r="AE14" s="2" t="s">
        <v>175</v>
      </c>
      <c r="AF14" s="2" t="s">
        <v>260</v>
      </c>
    </row>
    <row r="15" customFormat="false" ht="35.05" hidden="false" customHeight="false" outlineLevel="0" collapsed="false">
      <c r="A15" s="2" t="n">
        <v>14</v>
      </c>
      <c r="B15" s="3" t="n">
        <v>46394</v>
      </c>
      <c r="C15" s="2" t="s">
        <v>156</v>
      </c>
      <c r="D15" s="2" t="s">
        <v>33</v>
      </c>
      <c r="E15" s="2"/>
      <c r="F15" s="2" t="s">
        <v>81</v>
      </c>
      <c r="G15" s="2" t="s">
        <v>157</v>
      </c>
      <c r="H15" s="2" t="s">
        <v>277</v>
      </c>
      <c r="I15" s="2" t="s">
        <v>278</v>
      </c>
      <c r="J15" s="2" t="s">
        <v>279</v>
      </c>
      <c r="K15" s="2" t="s">
        <v>280</v>
      </c>
      <c r="L15" s="2" t="s">
        <v>281</v>
      </c>
      <c r="M15" s="2" t="s">
        <v>88</v>
      </c>
      <c r="N15" s="2" t="s">
        <v>282</v>
      </c>
      <c r="O15" s="2" t="n">
        <f aca="false">LEN(N15)</f>
        <v>60</v>
      </c>
      <c r="P15" s="2" t="s">
        <v>283</v>
      </c>
      <c r="Q15" s="2" t="n">
        <f aca="false">LEN(P15)</f>
        <v>133</v>
      </c>
      <c r="R15" s="2" t="s">
        <v>44</v>
      </c>
      <c r="S15" s="2" t="s">
        <v>45</v>
      </c>
      <c r="T15" s="2" t="s">
        <v>91</v>
      </c>
      <c r="U15" s="2" t="s">
        <v>284</v>
      </c>
      <c r="V15" s="2" t="s">
        <v>285</v>
      </c>
      <c r="W15" s="2" t="s">
        <v>286</v>
      </c>
      <c r="X15" s="2" t="s">
        <v>287</v>
      </c>
      <c r="Y15" s="2" t="s">
        <v>288</v>
      </c>
      <c r="Z15" s="2" t="s">
        <v>289</v>
      </c>
      <c r="AA15" s="2" t="s">
        <v>290</v>
      </c>
      <c r="AB15" s="2" t="s">
        <v>291</v>
      </c>
      <c r="AC15" s="2" t="s">
        <v>292</v>
      </c>
      <c r="AD15" s="2" t="s">
        <v>119</v>
      </c>
      <c r="AE15" s="2" t="s">
        <v>175</v>
      </c>
      <c r="AF15" s="2"/>
    </row>
    <row r="16" customFormat="false" ht="35.05" hidden="false" customHeight="false" outlineLevel="0" collapsed="false">
      <c r="A16" s="2" t="n">
        <v>15</v>
      </c>
      <c r="B16" s="3" t="n">
        <v>46401</v>
      </c>
      <c r="C16" s="2" t="s">
        <v>156</v>
      </c>
      <c r="D16" s="2" t="s">
        <v>33</v>
      </c>
      <c r="E16" s="2"/>
      <c r="F16" s="2" t="s">
        <v>81</v>
      </c>
      <c r="G16" s="2" t="s">
        <v>157</v>
      </c>
      <c r="H16" s="2" t="s">
        <v>293</v>
      </c>
      <c r="I16" s="2" t="s">
        <v>294</v>
      </c>
      <c r="J16" s="2" t="s">
        <v>295</v>
      </c>
      <c r="K16" s="2" t="s">
        <v>296</v>
      </c>
      <c r="L16" s="2" t="s">
        <v>297</v>
      </c>
      <c r="M16" s="2" t="s">
        <v>88</v>
      </c>
      <c r="N16" s="2" t="s">
        <v>298</v>
      </c>
      <c r="O16" s="2" t="n">
        <f aca="false">LEN(N16)</f>
        <v>47</v>
      </c>
      <c r="P16" s="2" t="s">
        <v>299</v>
      </c>
      <c r="Q16" s="2" t="n">
        <f aca="false">LEN(P16)</f>
        <v>132</v>
      </c>
      <c r="R16" s="2" t="s">
        <v>44</v>
      </c>
      <c r="S16" s="2" t="s">
        <v>219</v>
      </c>
      <c r="T16" s="2" t="s">
        <v>129</v>
      </c>
      <c r="U16" s="2" t="s">
        <v>300</v>
      </c>
      <c r="V16" s="2" t="s">
        <v>301</v>
      </c>
      <c r="W16" s="2" t="s">
        <v>302</v>
      </c>
      <c r="X16" s="2" t="s">
        <v>303</v>
      </c>
      <c r="Y16" s="2" t="s">
        <v>288</v>
      </c>
      <c r="Z16" s="2" t="s">
        <v>304</v>
      </c>
      <c r="AA16" s="2" t="s">
        <v>305</v>
      </c>
      <c r="AB16" s="2" t="s">
        <v>306</v>
      </c>
      <c r="AC16" s="2" t="s">
        <v>307</v>
      </c>
      <c r="AD16" s="2" t="s">
        <v>119</v>
      </c>
      <c r="AE16" s="2" t="s">
        <v>175</v>
      </c>
      <c r="AF16" s="2"/>
    </row>
    <row r="17" customFormat="false" ht="57.45" hidden="false" customHeight="false" outlineLevel="0" collapsed="false">
      <c r="A17" s="2" t="n">
        <v>16</v>
      </c>
      <c r="B17" s="3" t="n">
        <v>46408</v>
      </c>
      <c r="C17" s="2" t="s">
        <v>156</v>
      </c>
      <c r="D17" s="2" t="s">
        <v>33</v>
      </c>
      <c r="E17" s="2"/>
      <c r="F17" s="2" t="s">
        <v>81</v>
      </c>
      <c r="G17" s="2" t="s">
        <v>157</v>
      </c>
      <c r="H17" s="2" t="s">
        <v>308</v>
      </c>
      <c r="I17" s="2" t="s">
        <v>309</v>
      </c>
      <c r="J17" s="2" t="s">
        <v>310</v>
      </c>
      <c r="K17" s="2" t="s">
        <v>311</v>
      </c>
      <c r="L17" s="2" t="s">
        <v>312</v>
      </c>
      <c r="M17" s="2" t="s">
        <v>88</v>
      </c>
      <c r="N17" s="2" t="s">
        <v>313</v>
      </c>
      <c r="O17" s="2" t="n">
        <f aca="false">LEN(N17)</f>
        <v>42</v>
      </c>
      <c r="P17" s="2" t="s">
        <v>314</v>
      </c>
      <c r="Q17" s="2" t="n">
        <f aca="false">LEN(P17)</f>
        <v>127</v>
      </c>
      <c r="R17" s="2" t="s">
        <v>44</v>
      </c>
      <c r="S17" s="2" t="s">
        <v>315</v>
      </c>
      <c r="T17" s="2" t="s">
        <v>46</v>
      </c>
      <c r="U17" s="2" t="s">
        <v>316</v>
      </c>
      <c r="V17" s="2" t="s">
        <v>317</v>
      </c>
      <c r="W17" s="2" t="s">
        <v>318</v>
      </c>
      <c r="X17" s="2" t="s">
        <v>319</v>
      </c>
      <c r="Y17" s="2" t="s">
        <v>320</v>
      </c>
      <c r="Z17" s="2" t="s">
        <v>321</v>
      </c>
      <c r="AA17" s="2" t="s">
        <v>322</v>
      </c>
      <c r="AB17" s="2" t="s">
        <v>323</v>
      </c>
      <c r="AC17" s="2" t="s">
        <v>324</v>
      </c>
      <c r="AD17" s="2" t="s">
        <v>119</v>
      </c>
      <c r="AE17" s="2" t="s">
        <v>175</v>
      </c>
      <c r="AF17" s="2"/>
    </row>
    <row r="18" customFormat="false" ht="35.05" hidden="false" customHeight="false" outlineLevel="0" collapsed="false">
      <c r="A18" s="2" t="n">
        <v>17</v>
      </c>
      <c r="B18" s="3" t="n">
        <v>46415</v>
      </c>
      <c r="C18" s="2" t="s">
        <v>156</v>
      </c>
      <c r="D18" s="2" t="s">
        <v>59</v>
      </c>
      <c r="E18" s="2" t="s">
        <v>325</v>
      </c>
      <c r="F18" s="2" t="s">
        <v>81</v>
      </c>
      <c r="G18" s="2" t="s">
        <v>157</v>
      </c>
      <c r="H18" s="2" t="s">
        <v>326</v>
      </c>
      <c r="I18" s="2" t="s">
        <v>327</v>
      </c>
      <c r="J18" s="2" t="s">
        <v>328</v>
      </c>
      <c r="K18" s="2" t="s">
        <v>329</v>
      </c>
      <c r="L18" s="2" t="s">
        <v>330</v>
      </c>
      <c r="M18" s="2" t="s">
        <v>107</v>
      </c>
      <c r="N18" s="2" t="s">
        <v>331</v>
      </c>
      <c r="O18" s="2" t="n">
        <f aca="false">LEN(N18)</f>
        <v>58</v>
      </c>
      <c r="P18" s="2" t="s">
        <v>332</v>
      </c>
      <c r="Q18" s="2" t="n">
        <f aca="false">LEN(P18)</f>
        <v>137</v>
      </c>
      <c r="R18" s="2" t="s">
        <v>44</v>
      </c>
      <c r="S18" s="2" t="s">
        <v>333</v>
      </c>
      <c r="T18" s="2" t="s">
        <v>71</v>
      </c>
      <c r="U18" s="2" t="s">
        <v>334</v>
      </c>
      <c r="V18" s="2" t="s">
        <v>335</v>
      </c>
      <c r="W18" s="2" t="s">
        <v>336</v>
      </c>
      <c r="X18" s="2" t="s">
        <v>337</v>
      </c>
      <c r="Y18" s="2" t="s">
        <v>76</v>
      </c>
      <c r="Z18" s="2" t="s">
        <v>338</v>
      </c>
      <c r="AA18" s="2" t="s">
        <v>339</v>
      </c>
      <c r="AB18" s="2" t="s">
        <v>340</v>
      </c>
      <c r="AC18" s="2" t="s">
        <v>341</v>
      </c>
      <c r="AD18" s="2" t="s">
        <v>119</v>
      </c>
      <c r="AE18" s="2" t="s">
        <v>175</v>
      </c>
      <c r="AF18" s="2"/>
    </row>
    <row r="19" customFormat="false" ht="46.25" hidden="false" customHeight="false" outlineLevel="0" collapsed="false">
      <c r="A19" s="2" t="n">
        <v>18</v>
      </c>
      <c r="B19" s="3" t="n">
        <v>46422</v>
      </c>
      <c r="C19" s="2" t="s">
        <v>156</v>
      </c>
      <c r="D19" s="2" t="s">
        <v>33</v>
      </c>
      <c r="E19" s="2"/>
      <c r="F19" s="2" t="s">
        <v>81</v>
      </c>
      <c r="G19" s="2" t="s">
        <v>82</v>
      </c>
      <c r="H19" s="2" t="s">
        <v>342</v>
      </c>
      <c r="I19" s="2" t="s">
        <v>343</v>
      </c>
      <c r="J19" s="2" t="s">
        <v>344</v>
      </c>
      <c r="K19" s="2" t="s">
        <v>345</v>
      </c>
      <c r="L19" s="2" t="s">
        <v>346</v>
      </c>
      <c r="M19" s="2" t="s">
        <v>347</v>
      </c>
      <c r="N19" s="2" t="s">
        <v>348</v>
      </c>
      <c r="O19" s="2" t="n">
        <f aca="false">LEN(N19)</f>
        <v>50</v>
      </c>
      <c r="P19" s="2" t="s">
        <v>349</v>
      </c>
      <c r="Q19" s="2" t="n">
        <f aca="false">LEN(P19)</f>
        <v>130</v>
      </c>
      <c r="R19" s="2" t="s">
        <v>44</v>
      </c>
      <c r="S19" s="2" t="s">
        <v>219</v>
      </c>
      <c r="T19" s="2" t="s">
        <v>91</v>
      </c>
      <c r="U19" s="2" t="s">
        <v>350</v>
      </c>
      <c r="V19" s="2" t="s">
        <v>351</v>
      </c>
      <c r="W19" s="2" t="s">
        <v>352</v>
      </c>
      <c r="X19" s="2" t="s">
        <v>353</v>
      </c>
      <c r="Y19" s="2" t="s">
        <v>354</v>
      </c>
      <c r="Z19" s="2" t="s">
        <v>355</v>
      </c>
      <c r="AA19" s="2" t="s">
        <v>356</v>
      </c>
      <c r="AB19" s="2" t="s">
        <v>357</v>
      </c>
      <c r="AC19" s="2" t="s">
        <v>358</v>
      </c>
      <c r="AD19" s="2" t="s">
        <v>119</v>
      </c>
      <c r="AE19" s="2" t="s">
        <v>175</v>
      </c>
      <c r="AF19" s="2"/>
    </row>
    <row r="20" customFormat="false" ht="57.45" hidden="false" customHeight="false" outlineLevel="0" collapsed="false">
      <c r="A20" s="2" t="n">
        <v>19</v>
      </c>
      <c r="B20" s="3" t="n">
        <v>46429</v>
      </c>
      <c r="C20" s="2" t="s">
        <v>156</v>
      </c>
      <c r="D20" s="2" t="s">
        <v>33</v>
      </c>
      <c r="E20" s="2"/>
      <c r="F20" s="2" t="s">
        <v>81</v>
      </c>
      <c r="G20" s="2" t="s">
        <v>157</v>
      </c>
      <c r="H20" s="2" t="s">
        <v>359</v>
      </c>
      <c r="I20" s="2" t="s">
        <v>360</v>
      </c>
      <c r="J20" s="2" t="s">
        <v>361</v>
      </c>
      <c r="K20" s="2" t="s">
        <v>362</v>
      </c>
      <c r="L20" s="2" t="s">
        <v>363</v>
      </c>
      <c r="M20" s="2" t="s">
        <v>364</v>
      </c>
      <c r="N20" s="2" t="s">
        <v>365</v>
      </c>
      <c r="O20" s="2" t="n">
        <f aca="false">LEN(N20)</f>
        <v>51</v>
      </c>
      <c r="P20" s="2" t="s">
        <v>366</v>
      </c>
      <c r="Q20" s="2" t="n">
        <f aca="false">LEN(P20)</f>
        <v>139</v>
      </c>
      <c r="R20" s="2" t="s">
        <v>44</v>
      </c>
      <c r="S20" s="2" t="s">
        <v>45</v>
      </c>
      <c r="T20" s="2" t="s">
        <v>129</v>
      </c>
      <c r="U20" s="2" t="s">
        <v>367</v>
      </c>
      <c r="V20" s="2" t="s">
        <v>368</v>
      </c>
      <c r="W20" s="2" t="s">
        <v>369</v>
      </c>
      <c r="X20" s="2" t="s">
        <v>370</v>
      </c>
      <c r="Y20" s="2" t="s">
        <v>371</v>
      </c>
      <c r="Z20" s="2" t="s">
        <v>372</v>
      </c>
      <c r="AA20" s="2" t="s">
        <v>373</v>
      </c>
      <c r="AB20" s="2" t="s">
        <v>374</v>
      </c>
      <c r="AC20" s="2" t="s">
        <v>375</v>
      </c>
      <c r="AD20" s="2" t="s">
        <v>119</v>
      </c>
      <c r="AE20" s="2" t="s">
        <v>175</v>
      </c>
      <c r="AF20" s="2"/>
    </row>
    <row r="21" customFormat="false" ht="46.25" hidden="false" customHeight="false" outlineLevel="0" collapsed="false">
      <c r="A21" s="2" t="n">
        <v>20</v>
      </c>
      <c r="B21" s="3" t="n">
        <v>46436</v>
      </c>
      <c r="C21" s="2" t="s">
        <v>156</v>
      </c>
      <c r="D21" s="2" t="s">
        <v>33</v>
      </c>
      <c r="E21" s="2"/>
      <c r="F21" s="2" t="s">
        <v>61</v>
      </c>
      <c r="G21" s="2" t="s">
        <v>82</v>
      </c>
      <c r="H21" s="2" t="s">
        <v>376</v>
      </c>
      <c r="I21" s="2" t="s">
        <v>377</v>
      </c>
      <c r="J21" s="2" t="s">
        <v>378</v>
      </c>
      <c r="K21" s="2" t="s">
        <v>379</v>
      </c>
      <c r="L21" s="2" t="s">
        <v>380</v>
      </c>
      <c r="M21" s="2" t="s">
        <v>163</v>
      </c>
      <c r="N21" s="2" t="s">
        <v>381</v>
      </c>
      <c r="O21" s="2" t="n">
        <f aca="false">LEN(N21)</f>
        <v>49</v>
      </c>
      <c r="P21" s="2" t="s">
        <v>382</v>
      </c>
      <c r="Q21" s="2" t="n">
        <f aca="false">LEN(P21)</f>
        <v>137</v>
      </c>
      <c r="R21" s="2" t="s">
        <v>44</v>
      </c>
      <c r="S21" s="2" t="s">
        <v>45</v>
      </c>
      <c r="T21" s="2" t="s">
        <v>46</v>
      </c>
      <c r="U21" s="2" t="s">
        <v>383</v>
      </c>
      <c r="V21" s="2" t="s">
        <v>384</v>
      </c>
      <c r="W21" s="2" t="s">
        <v>385</v>
      </c>
      <c r="X21" s="2" t="s">
        <v>386</v>
      </c>
      <c r="Y21" s="2" t="s">
        <v>134</v>
      </c>
      <c r="Z21" s="2" t="s">
        <v>387</v>
      </c>
      <c r="AA21" s="2" t="s">
        <v>388</v>
      </c>
      <c r="AB21" s="2" t="s">
        <v>389</v>
      </c>
      <c r="AC21" s="2" t="s">
        <v>390</v>
      </c>
      <c r="AD21" s="2" t="s">
        <v>119</v>
      </c>
      <c r="AE21" s="2" t="s">
        <v>175</v>
      </c>
      <c r="AF21" s="2"/>
    </row>
    <row r="22" customFormat="false" ht="35.05" hidden="false" customHeight="false" outlineLevel="0" collapsed="false">
      <c r="A22" s="2" t="n">
        <v>21</v>
      </c>
      <c r="B22" s="3" t="n">
        <v>46443</v>
      </c>
      <c r="C22" s="2" t="s">
        <v>156</v>
      </c>
      <c r="D22" s="2" t="s">
        <v>33</v>
      </c>
      <c r="E22" s="2"/>
      <c r="F22" s="2" t="s">
        <v>34</v>
      </c>
      <c r="G22" s="2" t="s">
        <v>157</v>
      </c>
      <c r="H22" s="2" t="s">
        <v>391</v>
      </c>
      <c r="I22" s="2" t="s">
        <v>392</v>
      </c>
      <c r="J22" s="2" t="s">
        <v>393</v>
      </c>
      <c r="K22" s="2" t="s">
        <v>394</v>
      </c>
      <c r="L22" s="2" t="s">
        <v>395</v>
      </c>
      <c r="M22" s="2" t="s">
        <v>163</v>
      </c>
      <c r="N22" s="2" t="s">
        <v>396</v>
      </c>
      <c r="O22" s="2" t="n">
        <f aca="false">LEN(N22)</f>
        <v>37</v>
      </c>
      <c r="P22" s="2" t="s">
        <v>397</v>
      </c>
      <c r="Q22" s="2" t="n">
        <f aca="false">LEN(P22)</f>
        <v>136</v>
      </c>
      <c r="R22" s="2" t="s">
        <v>44</v>
      </c>
      <c r="S22" s="2" t="s">
        <v>219</v>
      </c>
      <c r="T22" s="2" t="s">
        <v>91</v>
      </c>
      <c r="U22" s="2" t="s">
        <v>398</v>
      </c>
      <c r="V22" s="2" t="s">
        <v>399</v>
      </c>
      <c r="W22" s="2" t="s">
        <v>400</v>
      </c>
      <c r="X22" s="2" t="s">
        <v>401</v>
      </c>
      <c r="Y22" s="2" t="s">
        <v>402</v>
      </c>
      <c r="Z22" s="2" t="s">
        <v>403</v>
      </c>
      <c r="AA22" s="2" t="s">
        <v>404</v>
      </c>
      <c r="AB22" s="2" t="s">
        <v>405</v>
      </c>
      <c r="AC22" s="2" t="s">
        <v>406</v>
      </c>
      <c r="AD22" s="2" t="s">
        <v>119</v>
      </c>
      <c r="AE22" s="2" t="s">
        <v>175</v>
      </c>
      <c r="AF22" s="2"/>
    </row>
  </sheetData>
  <autoFilter ref="A1:AF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4" min="4" style="0" width="90"/>
    <col collapsed="false" customWidth="true" hidden="false" outlineLevel="0" max="5" min="5" style="0" width="16"/>
    <col collapsed="false" customWidth="true" hidden="false" outlineLevel="0" max="6" min="6" style="0" width="50"/>
  </cols>
  <sheetData>
    <row r="1" customFormat="false" ht="31.5" hidden="false" customHeight="true" outlineLevel="0" collapsed="false">
      <c r="A1" s="1" t="s">
        <v>407</v>
      </c>
      <c r="B1" s="1" t="s">
        <v>2</v>
      </c>
      <c r="C1" s="1" t="s">
        <v>408</v>
      </c>
      <c r="D1" s="1" t="s">
        <v>409</v>
      </c>
      <c r="E1" s="1" t="s">
        <v>3</v>
      </c>
      <c r="F1" s="1" t="s">
        <v>31</v>
      </c>
    </row>
    <row r="2" customFormat="false" ht="46.25" hidden="false" customHeight="false" outlineLevel="0" collapsed="false">
      <c r="A2" s="3" t="n">
        <v>46319</v>
      </c>
      <c r="B2" s="2" t="s">
        <v>32</v>
      </c>
      <c r="C2" s="2" t="n">
        <v>6</v>
      </c>
      <c r="D2" s="2" t="s">
        <v>410</v>
      </c>
      <c r="E2" s="2" t="s">
        <v>411</v>
      </c>
      <c r="F2" s="2" t="s">
        <v>58</v>
      </c>
    </row>
    <row r="3" customFormat="false" ht="15" hidden="false" customHeight="false" outlineLevel="0" collapsed="false">
      <c r="A3" s="3" t="n">
        <v>46345</v>
      </c>
      <c r="B3" s="2" t="s">
        <v>156</v>
      </c>
      <c r="C3" s="2" t="n">
        <v>1</v>
      </c>
      <c r="D3" s="2" t="s">
        <v>412</v>
      </c>
      <c r="E3" s="2" t="s">
        <v>33</v>
      </c>
      <c r="F3" s="2" t="s">
        <v>176</v>
      </c>
    </row>
    <row r="4" customFormat="false" ht="15" hidden="false" customHeight="false" outlineLevel="0" collapsed="false">
      <c r="A4" s="3" t="n">
        <v>46352</v>
      </c>
      <c r="B4" s="2" t="s">
        <v>156</v>
      </c>
      <c r="C4" s="2" t="n">
        <v>1</v>
      </c>
      <c r="D4" s="2" t="s">
        <v>413</v>
      </c>
      <c r="E4" s="2" t="s">
        <v>59</v>
      </c>
      <c r="F4" s="2"/>
    </row>
    <row r="5" customFormat="false" ht="15" hidden="false" customHeight="false" outlineLevel="0" collapsed="false">
      <c r="A5" s="3" t="n">
        <v>46359</v>
      </c>
      <c r="B5" s="2" t="s">
        <v>156</v>
      </c>
      <c r="C5" s="2" t="n">
        <v>1</v>
      </c>
      <c r="D5" s="2" t="s">
        <v>414</v>
      </c>
      <c r="E5" s="2" t="s">
        <v>33</v>
      </c>
      <c r="F5" s="2"/>
    </row>
    <row r="6" customFormat="false" ht="15" hidden="false" customHeight="false" outlineLevel="0" collapsed="false">
      <c r="A6" s="3" t="n">
        <v>46366</v>
      </c>
      <c r="B6" s="2" t="s">
        <v>156</v>
      </c>
      <c r="C6" s="2" t="n">
        <v>1</v>
      </c>
      <c r="D6" s="2" t="s">
        <v>415</v>
      </c>
      <c r="E6" s="2" t="s">
        <v>33</v>
      </c>
      <c r="F6" s="2"/>
    </row>
    <row r="7" customFormat="false" ht="15" hidden="false" customHeight="false" outlineLevel="0" collapsed="false">
      <c r="A7" s="3" t="n">
        <v>46373</v>
      </c>
      <c r="B7" s="2" t="s">
        <v>156</v>
      </c>
      <c r="C7" s="2" t="n">
        <v>1</v>
      </c>
      <c r="D7" s="2" t="s">
        <v>416</v>
      </c>
      <c r="E7" s="2" t="s">
        <v>33</v>
      </c>
      <c r="F7" s="2"/>
    </row>
    <row r="8" customFormat="false" ht="15" hidden="false" customHeight="false" outlineLevel="0" collapsed="false">
      <c r="A8" s="3" t="n">
        <v>46380</v>
      </c>
      <c r="B8" s="2" t="s">
        <v>156</v>
      </c>
      <c r="C8" s="2" t="n">
        <v>1</v>
      </c>
      <c r="D8" s="2" t="s">
        <v>417</v>
      </c>
      <c r="E8" s="2" t="s">
        <v>33</v>
      </c>
      <c r="F8" s="2" t="s">
        <v>260</v>
      </c>
    </row>
    <row r="9" customFormat="false" ht="15" hidden="false" customHeight="false" outlineLevel="0" collapsed="false">
      <c r="A9" s="3" t="n">
        <v>46387</v>
      </c>
      <c r="B9" s="2" t="s">
        <v>156</v>
      </c>
      <c r="C9" s="2" t="n">
        <v>1</v>
      </c>
      <c r="D9" s="2" t="s">
        <v>418</v>
      </c>
      <c r="E9" s="2" t="s">
        <v>33</v>
      </c>
      <c r="F9" s="2" t="s">
        <v>260</v>
      </c>
    </row>
    <row r="10" customFormat="false" ht="15" hidden="false" customHeight="false" outlineLevel="0" collapsed="false">
      <c r="A10" s="3" t="n">
        <v>46394</v>
      </c>
      <c r="B10" s="2" t="s">
        <v>156</v>
      </c>
      <c r="C10" s="2" t="n">
        <v>1</v>
      </c>
      <c r="D10" s="2" t="s">
        <v>419</v>
      </c>
      <c r="E10" s="2" t="s">
        <v>33</v>
      </c>
      <c r="F10" s="2"/>
    </row>
    <row r="11" customFormat="false" ht="15" hidden="false" customHeight="false" outlineLevel="0" collapsed="false">
      <c r="A11" s="3" t="n">
        <v>46401</v>
      </c>
      <c r="B11" s="2" t="s">
        <v>156</v>
      </c>
      <c r="C11" s="2" t="n">
        <v>1</v>
      </c>
      <c r="D11" s="2" t="s">
        <v>420</v>
      </c>
      <c r="E11" s="2" t="s">
        <v>33</v>
      </c>
      <c r="F11" s="2"/>
    </row>
    <row r="12" customFormat="false" ht="15" hidden="false" customHeight="false" outlineLevel="0" collapsed="false">
      <c r="A12" s="3" t="n">
        <v>46408</v>
      </c>
      <c r="B12" s="2" t="s">
        <v>156</v>
      </c>
      <c r="C12" s="2" t="n">
        <v>1</v>
      </c>
      <c r="D12" s="2" t="s">
        <v>421</v>
      </c>
      <c r="E12" s="2" t="s">
        <v>33</v>
      </c>
      <c r="F12" s="2"/>
    </row>
    <row r="13" customFormat="false" ht="15" hidden="false" customHeight="false" outlineLevel="0" collapsed="false">
      <c r="A13" s="3" t="n">
        <v>46415</v>
      </c>
      <c r="B13" s="2" t="s">
        <v>156</v>
      </c>
      <c r="C13" s="2" t="n">
        <v>1</v>
      </c>
      <c r="D13" s="2" t="s">
        <v>422</v>
      </c>
      <c r="E13" s="2" t="s">
        <v>59</v>
      </c>
      <c r="F13" s="2"/>
    </row>
    <row r="14" customFormat="false" ht="15" hidden="false" customHeight="false" outlineLevel="0" collapsed="false">
      <c r="A14" s="3" t="n">
        <v>46422</v>
      </c>
      <c r="B14" s="2" t="s">
        <v>156</v>
      </c>
      <c r="C14" s="2" t="n">
        <v>1</v>
      </c>
      <c r="D14" s="2" t="s">
        <v>423</v>
      </c>
      <c r="E14" s="2" t="s">
        <v>33</v>
      </c>
      <c r="F14" s="2"/>
    </row>
    <row r="15" customFormat="false" ht="15" hidden="false" customHeight="false" outlineLevel="0" collapsed="false">
      <c r="A15" s="3" t="n">
        <v>46429</v>
      </c>
      <c r="B15" s="2" t="s">
        <v>156</v>
      </c>
      <c r="C15" s="2" t="n">
        <v>1</v>
      </c>
      <c r="D15" s="2" t="s">
        <v>424</v>
      </c>
      <c r="E15" s="2" t="s">
        <v>33</v>
      </c>
      <c r="F15" s="2"/>
    </row>
    <row r="16" customFormat="false" ht="15" hidden="false" customHeight="false" outlineLevel="0" collapsed="false">
      <c r="A16" s="3" t="n">
        <v>46436</v>
      </c>
      <c r="B16" s="2" t="s">
        <v>156</v>
      </c>
      <c r="C16" s="2" t="n">
        <v>1</v>
      </c>
      <c r="D16" s="2" t="s">
        <v>425</v>
      </c>
      <c r="E16" s="2" t="s">
        <v>33</v>
      </c>
      <c r="F16" s="2"/>
    </row>
    <row r="17" customFormat="false" ht="15" hidden="false" customHeight="false" outlineLevel="0" collapsed="false">
      <c r="A17" s="3" t="n">
        <v>46443</v>
      </c>
      <c r="B17" s="2" t="s">
        <v>156</v>
      </c>
      <c r="C17" s="2" t="n">
        <v>1</v>
      </c>
      <c r="D17" s="2" t="s">
        <v>426</v>
      </c>
      <c r="E17" s="2" t="s">
        <v>33</v>
      </c>
      <c r="F17" s="2"/>
    </row>
    <row r="19" customFormat="false" ht="15" hidden="false" customHeight="false" outlineLevel="0" collapsed="false">
      <c r="A19" s="4" t="s">
        <v>427</v>
      </c>
      <c r="C19" s="4" t="n">
        <f aca="false">COUNTA(A3:A17)</f>
        <v>15</v>
      </c>
    </row>
    <row r="20" customFormat="false" ht="15" hidden="false" customHeight="false" outlineLevel="0" collapsed="false">
      <c r="A20" s="4" t="s">
        <v>428</v>
      </c>
      <c r="C20" s="4" t="n">
        <f aca="false">SUM(C2:C17)</f>
        <v>21</v>
      </c>
    </row>
  </sheetData>
  <autoFilter ref="A1:F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36"/>
    <col collapsed="false" customWidth="true" hidden="false" outlineLevel="0" max="4" min="4" style="0" width="12"/>
  </cols>
  <sheetData>
    <row r="1" customFormat="false" ht="31.5" hidden="false" customHeight="true" outlineLevel="0" collapsed="false">
      <c r="A1" s="1" t="s">
        <v>0</v>
      </c>
      <c r="B1" s="1" t="s">
        <v>429</v>
      </c>
      <c r="C1" s="1" t="s">
        <v>430</v>
      </c>
      <c r="D1" s="1" t="s">
        <v>431</v>
      </c>
    </row>
    <row r="2" customFormat="false" ht="15" hidden="false" customHeight="false" outlineLevel="0" collapsed="false">
      <c r="A2" s="2" t="n">
        <v>1</v>
      </c>
      <c r="B2" s="2" t="s">
        <v>432</v>
      </c>
      <c r="C2" s="2" t="s">
        <v>433</v>
      </c>
      <c r="D2" s="2" t="n">
        <v>3</v>
      </c>
    </row>
    <row r="3" customFormat="false" ht="15" hidden="false" customHeight="false" outlineLevel="0" collapsed="false">
      <c r="A3" s="2" t="n">
        <v>2</v>
      </c>
      <c r="B3" s="2" t="s">
        <v>434</v>
      </c>
      <c r="C3" s="2" t="s">
        <v>435</v>
      </c>
      <c r="D3" s="2" t="n">
        <v>3</v>
      </c>
    </row>
    <row r="4" customFormat="false" ht="15" hidden="false" customHeight="false" outlineLevel="0" collapsed="false">
      <c r="A4" s="2" t="n">
        <v>3</v>
      </c>
      <c r="B4" s="2" t="s">
        <v>436</v>
      </c>
      <c r="C4" s="2" t="s">
        <v>437</v>
      </c>
      <c r="D4" s="2" t="n">
        <v>10</v>
      </c>
    </row>
    <row r="5" customFormat="false" ht="15" hidden="false" customHeight="false" outlineLevel="0" collapsed="false">
      <c r="A5" s="2" t="n">
        <v>4</v>
      </c>
      <c r="B5" s="2" t="s">
        <v>438</v>
      </c>
      <c r="C5" s="2" t="s">
        <v>439</v>
      </c>
      <c r="D5" s="2" t="n">
        <v>4</v>
      </c>
    </row>
    <row r="6" customFormat="false" ht="15" hidden="false" customHeight="false" outlineLevel="0" collapsed="false">
      <c r="A6" s="2" t="n">
        <v>5</v>
      </c>
      <c r="B6" s="2" t="s">
        <v>440</v>
      </c>
      <c r="C6" s="2" t="s">
        <v>441</v>
      </c>
      <c r="D6" s="2" t="n">
        <v>4</v>
      </c>
    </row>
    <row r="7" customFormat="false" ht="15" hidden="false" customHeight="false" outlineLevel="0" collapsed="false">
      <c r="A7" s="2" t="n">
        <v>6</v>
      </c>
      <c r="B7" s="2" t="s">
        <v>442</v>
      </c>
      <c r="C7" s="2" t="s">
        <v>443</v>
      </c>
      <c r="D7" s="2" t="n">
        <v>4</v>
      </c>
    </row>
    <row r="8" customFormat="false" ht="15" hidden="false" customHeight="false" outlineLevel="0" collapsed="false">
      <c r="A8" s="2" t="n">
        <v>7</v>
      </c>
      <c r="B8" s="2" t="s">
        <v>444</v>
      </c>
      <c r="C8" s="2" t="s">
        <v>445</v>
      </c>
      <c r="D8" s="2" t="n">
        <v>7</v>
      </c>
    </row>
    <row r="9" customFormat="false" ht="15" hidden="false" customHeight="false" outlineLevel="0" collapsed="false">
      <c r="A9" s="2" t="n">
        <v>8</v>
      </c>
      <c r="B9" s="2" t="s">
        <v>446</v>
      </c>
      <c r="C9" s="2" t="s">
        <v>447</v>
      </c>
      <c r="D9" s="2" t="n">
        <v>2</v>
      </c>
    </row>
    <row r="10" customFormat="false" ht="15" hidden="false" customHeight="false" outlineLevel="0" collapsed="false">
      <c r="A10" s="2" t="n">
        <v>9</v>
      </c>
      <c r="B10" s="2" t="s">
        <v>448</v>
      </c>
      <c r="C10" s="2" t="s">
        <v>449</v>
      </c>
      <c r="D10" s="2" t="n">
        <v>10</v>
      </c>
    </row>
    <row r="11" customFormat="false" ht="15" hidden="false" customHeight="false" outlineLevel="0" collapsed="false">
      <c r="A11" s="2" t="n">
        <v>10</v>
      </c>
      <c r="B11" s="2" t="s">
        <v>450</v>
      </c>
      <c r="C11" s="2" t="s">
        <v>451</v>
      </c>
      <c r="D11" s="2" t="n">
        <v>7</v>
      </c>
    </row>
    <row r="12" customFormat="false" ht="15" hidden="false" customHeight="false" outlineLevel="0" collapsed="false">
      <c r="A12" s="2" t="n">
        <v>11</v>
      </c>
      <c r="B12" s="2" t="s">
        <v>452</v>
      </c>
      <c r="C12" s="2" t="s">
        <v>453</v>
      </c>
      <c r="D12" s="2" t="n">
        <v>2</v>
      </c>
    </row>
    <row r="13" customFormat="false" ht="15" hidden="false" customHeight="false" outlineLevel="0" collapsed="false">
      <c r="A13" s="2" t="n">
        <v>12</v>
      </c>
      <c r="B13" s="2" t="s">
        <v>454</v>
      </c>
      <c r="C13" s="2" t="s">
        <v>455</v>
      </c>
      <c r="D13" s="2" t="n">
        <v>2</v>
      </c>
    </row>
    <row r="14" customFormat="false" ht="15" hidden="false" customHeight="false" outlineLevel="0" collapsed="false">
      <c r="A14" s="2" t="n">
        <v>13</v>
      </c>
      <c r="B14" s="2" t="s">
        <v>456</v>
      </c>
      <c r="C14" s="2" t="s">
        <v>457</v>
      </c>
      <c r="D14" s="2" t="n">
        <v>6</v>
      </c>
    </row>
    <row r="15" customFormat="false" ht="15" hidden="false" customHeight="false" outlineLevel="0" collapsed="false">
      <c r="A15" s="2" t="n">
        <v>14</v>
      </c>
      <c r="B15" s="2" t="s">
        <v>458</v>
      </c>
      <c r="C15" s="2" t="s">
        <v>459</v>
      </c>
      <c r="D15" s="2" t="n">
        <v>4</v>
      </c>
    </row>
    <row r="16" customFormat="false" ht="15" hidden="false" customHeight="false" outlineLevel="0" collapsed="false">
      <c r="A16" s="2" t="n">
        <v>15</v>
      </c>
      <c r="B16" s="2" t="s">
        <v>460</v>
      </c>
      <c r="C16" s="2" t="s">
        <v>461</v>
      </c>
      <c r="D16" s="2" t="n">
        <v>4</v>
      </c>
    </row>
    <row r="17" customFormat="false" ht="15" hidden="false" customHeight="false" outlineLevel="0" collapsed="false">
      <c r="A17" s="2" t="n">
        <v>16</v>
      </c>
      <c r="B17" s="2" t="s">
        <v>462</v>
      </c>
      <c r="C17" s="2" t="s">
        <v>463</v>
      </c>
      <c r="D17" s="2" t="n">
        <v>3</v>
      </c>
    </row>
    <row r="18" customFormat="false" ht="15" hidden="false" customHeight="false" outlineLevel="0" collapsed="false">
      <c r="A18" s="2" t="n">
        <v>17</v>
      </c>
      <c r="B18" s="2" t="s">
        <v>464</v>
      </c>
      <c r="C18" s="2" t="s">
        <v>463</v>
      </c>
      <c r="D18" s="2" t="n">
        <v>3</v>
      </c>
    </row>
    <row r="19" customFormat="false" ht="23.85" hidden="false" customHeight="false" outlineLevel="0" collapsed="false">
      <c r="A19" s="2" t="n">
        <v>18</v>
      </c>
      <c r="B19" s="2" t="s">
        <v>465</v>
      </c>
      <c r="C19" s="2" t="s">
        <v>466</v>
      </c>
      <c r="D19" s="2" t="n">
        <v>14</v>
      </c>
    </row>
    <row r="20" customFormat="false" ht="15" hidden="false" customHeight="false" outlineLevel="0" collapsed="false">
      <c r="A20" s="2" t="n">
        <v>19</v>
      </c>
      <c r="B20" s="2" t="s">
        <v>467</v>
      </c>
      <c r="C20" s="2" t="s">
        <v>468</v>
      </c>
      <c r="D20" s="2" t="n">
        <v>6</v>
      </c>
    </row>
  </sheetData>
  <autoFilter ref="A1:D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22"/>
  </cols>
  <sheetData>
    <row r="1" customFormat="false" ht="31.5" hidden="false" customHeight="true" outlineLevel="0" collapsed="false">
      <c r="A1" s="1" t="s">
        <v>469</v>
      </c>
      <c r="B1" s="1" t="s">
        <v>470</v>
      </c>
    </row>
    <row r="2" customFormat="false" ht="15" hidden="false" customHeight="false" outlineLevel="0" collapsed="false">
      <c r="A2" s="2" t="s">
        <v>471</v>
      </c>
      <c r="B2" s="2" t="s">
        <v>472</v>
      </c>
    </row>
    <row r="3" customFormat="false" ht="15" hidden="false" customHeight="false" outlineLevel="0" collapsed="false">
      <c r="A3" s="2" t="s">
        <v>473</v>
      </c>
      <c r="B3" s="2" t="s">
        <v>474</v>
      </c>
    </row>
    <row r="4" customFormat="false" ht="15" hidden="false" customHeight="false" outlineLevel="0" collapsed="false">
      <c r="A4" s="2" t="s">
        <v>475</v>
      </c>
      <c r="B4" s="2" t="s">
        <v>474</v>
      </c>
    </row>
    <row r="5" customFormat="false" ht="15" hidden="false" customHeight="false" outlineLevel="0" collapsed="false">
      <c r="A5" s="2" t="s">
        <v>476</v>
      </c>
      <c r="B5" s="2" t="s">
        <v>474</v>
      </c>
    </row>
    <row r="6" customFormat="false" ht="15" hidden="false" customHeight="false" outlineLevel="0" collapsed="false">
      <c r="A6" s="2" t="s">
        <v>477</v>
      </c>
      <c r="B6" s="2" t="s">
        <v>478</v>
      </c>
    </row>
    <row r="7" customFormat="false" ht="15" hidden="false" customHeight="false" outlineLevel="0" collapsed="false">
      <c r="A7" s="2" t="s">
        <v>479</v>
      </c>
      <c r="B7" s="2" t="s">
        <v>478</v>
      </c>
    </row>
    <row r="8" customFormat="false" ht="15" hidden="false" customHeight="false" outlineLevel="0" collapsed="false">
      <c r="A8" s="2" t="s">
        <v>480</v>
      </c>
      <c r="B8" s="2" t="s">
        <v>478</v>
      </c>
    </row>
    <row r="9" customFormat="false" ht="15" hidden="false" customHeight="false" outlineLevel="0" collapsed="false">
      <c r="A9" s="2" t="s">
        <v>481</v>
      </c>
      <c r="B9" s="2" t="s">
        <v>482</v>
      </c>
    </row>
    <row r="10" customFormat="false" ht="15" hidden="false" customHeight="false" outlineLevel="0" collapsed="false">
      <c r="A10" s="2" t="s">
        <v>483</v>
      </c>
      <c r="B10" s="2" t="s">
        <v>482</v>
      </c>
    </row>
    <row r="11" customFormat="false" ht="15" hidden="false" customHeight="false" outlineLevel="0" collapsed="false">
      <c r="A11" s="2" t="s">
        <v>484</v>
      </c>
      <c r="B11" s="2" t="s">
        <v>485</v>
      </c>
    </row>
    <row r="12" customFormat="false" ht="15" hidden="false" customHeight="false" outlineLevel="0" collapsed="false">
      <c r="A12" s="2" t="s">
        <v>486</v>
      </c>
      <c r="B12" s="2" t="s">
        <v>487</v>
      </c>
    </row>
    <row r="13" customFormat="false" ht="15" hidden="false" customHeight="false" outlineLevel="0" collapsed="false">
      <c r="A13" s="2" t="s">
        <v>488</v>
      </c>
      <c r="B13" s="2" t="s">
        <v>487</v>
      </c>
    </row>
    <row r="14" customFormat="false" ht="15" hidden="false" customHeight="false" outlineLevel="0" collapsed="false">
      <c r="A14" s="2" t="s">
        <v>489</v>
      </c>
      <c r="B14" s="2" t="s">
        <v>490</v>
      </c>
    </row>
    <row r="15" customFormat="false" ht="15" hidden="false" customHeight="false" outlineLevel="0" collapsed="false">
      <c r="A15" s="2" t="s">
        <v>491</v>
      </c>
      <c r="B15" s="2" t="s">
        <v>492</v>
      </c>
    </row>
    <row r="16" customFormat="false" ht="15" hidden="false" customHeight="false" outlineLevel="0" collapsed="false">
      <c r="A16" s="2" t="s">
        <v>493</v>
      </c>
      <c r="B16" s="2" t="s">
        <v>490</v>
      </c>
    </row>
    <row r="17" customFormat="false" ht="15" hidden="false" customHeight="false" outlineLevel="0" collapsed="false">
      <c r="A17" s="2" t="s">
        <v>494</v>
      </c>
      <c r="B17" s="2" t="s">
        <v>495</v>
      </c>
    </row>
  </sheetData>
  <autoFilter ref="A1:B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2026-10-24T15:55:48Z</dcterms:created>
  <dc:creator>openpyxl</dc:creator>
  <dc:description/>
  <dc:language>en-US</dc:language>
  <cp:lastModifiedBy/>
  <dcterms:modified xsi:type="dcterms:W3CDTF">2026-10-24T15:55:48Z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